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23256" windowHeight="13176" activeTab="4"/>
  </bookViews>
  <sheets>
    <sheet name="PRESTADO" sheetId="16" r:id="rId1"/>
    <sheet name="NATIVA" sheetId="12" r:id="rId2"/>
    <sheet name="PRESTAMOS" sheetId="18" r:id="rId3"/>
    <sheet name="NARANJA" sheetId="11" r:id="rId4"/>
    <sheet name="GENERAL 25-26" sheetId="13" r:id="rId5"/>
    <sheet name="NOTAS" sheetId="17" r:id="rId6"/>
  </sheets>
  <definedNames>
    <definedName name="_xlnm._FilterDatabase" localSheetId="4" hidden="1">'GENERAL 25-26'!$A$1:$M$1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8"/>
  <c r="G21"/>
  <c r="H21"/>
  <c r="I21"/>
  <c r="M32"/>
  <c r="I33"/>
  <c r="G33"/>
  <c r="J21"/>
  <c r="K21"/>
  <c r="L21"/>
  <c r="M21"/>
  <c r="F20"/>
  <c r="G20" s="1"/>
  <c r="H20" s="1"/>
  <c r="I20" s="1"/>
  <c r="J20" s="1"/>
  <c r="K20" s="1"/>
  <c r="L20" s="1"/>
  <c r="M20" s="1"/>
  <c r="I18"/>
  <c r="J18"/>
  <c r="K18"/>
  <c r="L18"/>
  <c r="M18"/>
  <c r="D18"/>
  <c r="F15"/>
  <c r="G15"/>
  <c r="H15"/>
  <c r="I15"/>
  <c r="J15"/>
  <c r="K15"/>
  <c r="D12"/>
  <c r="E17"/>
  <c r="F17" s="1"/>
  <c r="G17" s="1"/>
  <c r="H17" s="1"/>
  <c r="I17" s="1"/>
  <c r="J17" s="1"/>
  <c r="K17" s="1"/>
  <c r="L17" s="1"/>
  <c r="M17" s="1"/>
  <c r="D17"/>
  <c r="D14"/>
  <c r="E14" s="1"/>
  <c r="F14" s="1"/>
  <c r="G14" s="1"/>
  <c r="H14" s="1"/>
  <c r="I14" s="1"/>
  <c r="J14" s="1"/>
  <c r="K14" s="1"/>
  <c r="L14" s="1"/>
  <c r="M14" s="1"/>
  <c r="M15" s="1"/>
  <c r="D11"/>
  <c r="E11" s="1"/>
  <c r="C42" i="11"/>
  <c r="D42"/>
  <c r="E42"/>
  <c r="F42"/>
  <c r="H42"/>
  <c r="I42"/>
  <c r="J42"/>
  <c r="K42"/>
  <c r="L42"/>
  <c r="L5" i="13" s="1"/>
  <c r="M42" i="11"/>
  <c r="M5" i="13" s="1"/>
  <c r="B42" i="11"/>
  <c r="M7" i="18"/>
  <c r="M4" i="13" s="1"/>
  <c r="L7" i="18"/>
  <c r="L4" i="13" s="1"/>
  <c r="K7" i="18"/>
  <c r="K4" i="13" s="1"/>
  <c r="J7" i="18"/>
  <c r="J4" i="13" s="1"/>
  <c r="I7" i="18"/>
  <c r="I4" i="13" s="1"/>
  <c r="H7" i="18"/>
  <c r="H4" i="13" s="1"/>
  <c r="G7" i="18"/>
  <c r="G4" i="13" s="1"/>
  <c r="F7" i="18"/>
  <c r="F4" i="13" s="1"/>
  <c r="E7" i="18"/>
  <c r="E4" i="13" s="1"/>
  <c r="D7" i="18"/>
  <c r="D4" i="13" s="1"/>
  <c r="C7" i="18"/>
  <c r="C4" i="13" s="1"/>
  <c r="B7" i="18"/>
  <c r="B4" i="13" s="1"/>
  <c r="F15" i="17"/>
  <c r="F13"/>
  <c r="F9"/>
  <c r="M17" i="13"/>
  <c r="F11" i="18" l="1"/>
  <c r="E12"/>
  <c r="L15"/>
  <c r="E18"/>
  <c r="F18"/>
  <c r="E15"/>
  <c r="G18"/>
  <c r="D15"/>
  <c r="D23" s="1"/>
  <c r="H18"/>
  <c r="F11" i="17"/>
  <c r="H11" s="1"/>
  <c r="H10"/>
  <c r="N14" i="16"/>
  <c r="M14"/>
  <c r="L14"/>
  <c r="K14"/>
  <c r="J14"/>
  <c r="I14"/>
  <c r="H14"/>
  <c r="G14"/>
  <c r="F14"/>
  <c r="E14"/>
  <c r="D14"/>
  <c r="C14"/>
  <c r="N9"/>
  <c r="M9"/>
  <c r="L9"/>
  <c r="K9"/>
  <c r="J9"/>
  <c r="I9"/>
  <c r="H9"/>
  <c r="G9"/>
  <c r="F9"/>
  <c r="E9"/>
  <c r="D9"/>
  <c r="C9"/>
  <c r="N4"/>
  <c r="M4"/>
  <c r="L4"/>
  <c r="K4"/>
  <c r="J4"/>
  <c r="I4"/>
  <c r="H4"/>
  <c r="G4"/>
  <c r="F4"/>
  <c r="E4"/>
  <c r="D4"/>
  <c r="C4"/>
  <c r="B35" i="11"/>
  <c r="B4" s="1"/>
  <c r="C35"/>
  <c r="C4" s="1"/>
  <c r="E35"/>
  <c r="E4" s="1"/>
  <c r="F35"/>
  <c r="F4" s="1"/>
  <c r="G35"/>
  <c r="H35"/>
  <c r="H4" s="1"/>
  <c r="I35"/>
  <c r="J35"/>
  <c r="J4" s="1"/>
  <c r="K35"/>
  <c r="K4" s="1"/>
  <c r="L35"/>
  <c r="L4" s="1"/>
  <c r="M35"/>
  <c r="M4" s="1"/>
  <c r="D35"/>
  <c r="D4" s="1"/>
  <c r="G42" l="1"/>
  <c r="G4"/>
  <c r="G11" i="18"/>
  <c r="F12"/>
  <c r="F25" s="1"/>
  <c r="E23"/>
  <c r="I4" i="11"/>
  <c r="N17" i="16"/>
  <c r="N20" s="1"/>
  <c r="M15" i="13" s="1"/>
  <c r="K17" i="16"/>
  <c r="K20" s="1"/>
  <c r="J15" i="13" s="1"/>
  <c r="H17" i="16"/>
  <c r="H20" s="1"/>
  <c r="G15" i="13" s="1"/>
  <c r="M17" i="16"/>
  <c r="M20" s="1"/>
  <c r="L15" i="13" s="1"/>
  <c r="L17" i="16"/>
  <c r="L20" s="1"/>
  <c r="K15" i="13" s="1"/>
  <c r="I17" i="16"/>
  <c r="I20" s="1"/>
  <c r="H15" i="13" s="1"/>
  <c r="J17" i="16"/>
  <c r="J20" s="1"/>
  <c r="I15" i="13" s="1"/>
  <c r="G17" i="16"/>
  <c r="G20" s="1"/>
  <c r="F15" i="13" s="1"/>
  <c r="D17" i="16"/>
  <c r="D20" s="1"/>
  <c r="C15" i="13" s="1"/>
  <c r="E17" i="16"/>
  <c r="E20" s="1"/>
  <c r="D15" i="13" s="1"/>
  <c r="F17" i="16"/>
  <c r="F20" s="1"/>
  <c r="E15" i="13" s="1"/>
  <c r="C17" i="16"/>
  <c r="C20" s="1"/>
  <c r="B15" i="13" s="1"/>
  <c r="M20" i="11"/>
  <c r="M6" i="13" s="1"/>
  <c r="M19" s="1"/>
  <c r="M12" i="12"/>
  <c r="M7" i="13" s="1"/>
  <c r="L12" i="12"/>
  <c r="L7" i="13" s="1"/>
  <c r="K12" i="12"/>
  <c r="K7" i="13" s="1"/>
  <c r="J12" i="12"/>
  <c r="G12"/>
  <c r="F12"/>
  <c r="E12"/>
  <c r="E7" i="13" s="1"/>
  <c r="D12" i="12"/>
  <c r="D7" i="13" s="1"/>
  <c r="C12" i="12"/>
  <c r="C7" i="13" s="1"/>
  <c r="B12" i="12"/>
  <c r="B7" i="13" s="1"/>
  <c r="H12" i="12"/>
  <c r="I12"/>
  <c r="I7" i="13" s="1"/>
  <c r="F7" l="1"/>
  <c r="H11" i="18"/>
  <c r="G12"/>
  <c r="F23"/>
  <c r="J7" i="13"/>
  <c r="J20" i="11"/>
  <c r="J6" i="13" s="1"/>
  <c r="J19" s="1"/>
  <c r="H7"/>
  <c r="M11"/>
  <c r="M20" s="1"/>
  <c r="J17"/>
  <c r="I11" i="18" l="1"/>
  <c r="H12"/>
  <c r="G25"/>
  <c r="G23"/>
  <c r="L20" i="11"/>
  <c r="L6" i="13" s="1"/>
  <c r="K20" i="11"/>
  <c r="K6" i="13" s="1"/>
  <c r="M18"/>
  <c r="J11"/>
  <c r="K17"/>
  <c r="L17"/>
  <c r="L19" l="1"/>
  <c r="K19"/>
  <c r="J11" i="18"/>
  <c r="I12"/>
  <c r="H23"/>
  <c r="H25"/>
  <c r="J18" i="13"/>
  <c r="J20"/>
  <c r="L11"/>
  <c r="K11"/>
  <c r="J21"/>
  <c r="M21"/>
  <c r="G20" i="11"/>
  <c r="F20"/>
  <c r="E20"/>
  <c r="D20"/>
  <c r="C20"/>
  <c r="B20"/>
  <c r="B6" i="13" s="1"/>
  <c r="H20" i="11"/>
  <c r="I20"/>
  <c r="I6" i="13" s="1"/>
  <c r="B17"/>
  <c r="I17"/>
  <c r="I19" l="1"/>
  <c r="F6"/>
  <c r="I23" i="18"/>
  <c r="I25"/>
  <c r="K11"/>
  <c r="J12"/>
  <c r="C6" i="13"/>
  <c r="C19" s="1"/>
  <c r="D6"/>
  <c r="K18"/>
  <c r="K20"/>
  <c r="B19"/>
  <c r="L18"/>
  <c r="L20"/>
  <c r="L21"/>
  <c r="K21"/>
  <c r="E6"/>
  <c r="I11"/>
  <c r="I20" s="1"/>
  <c r="H6"/>
  <c r="G6"/>
  <c r="B11"/>
  <c r="G17"/>
  <c r="C17"/>
  <c r="F17"/>
  <c r="E17"/>
  <c r="H17"/>
  <c r="D17"/>
  <c r="H19" l="1"/>
  <c r="C11"/>
  <c r="C20" s="1"/>
  <c r="G19"/>
  <c r="F19"/>
  <c r="F11"/>
  <c r="F21" s="1"/>
  <c r="D11"/>
  <c r="D20" s="1"/>
  <c r="E19"/>
  <c r="L11" i="18"/>
  <c r="K12"/>
  <c r="J25"/>
  <c r="J23"/>
  <c r="D19" i="13"/>
  <c r="B18"/>
  <c r="B21"/>
  <c r="B20"/>
  <c r="E11"/>
  <c r="I21"/>
  <c r="I18"/>
  <c r="H11"/>
  <c r="H18" s="1"/>
  <c r="G11"/>
  <c r="G20" s="1"/>
  <c r="C18" l="1"/>
  <c r="C21"/>
  <c r="H20"/>
  <c r="F18"/>
  <c r="F20"/>
  <c r="D21"/>
  <c r="D18"/>
  <c r="K23" i="18"/>
  <c r="K25"/>
  <c r="M11"/>
  <c r="M12" s="1"/>
  <c r="L12"/>
  <c r="E18" i="13"/>
  <c r="E20"/>
  <c r="E21"/>
  <c r="G21"/>
  <c r="H21"/>
  <c r="G18"/>
  <c r="M25" i="18" l="1"/>
  <c r="M23"/>
  <c r="L25"/>
  <c r="L23"/>
</calcChain>
</file>

<file path=xl/sharedStrings.xml><?xml version="1.0" encoding="utf-8"?>
<sst xmlns="http://schemas.openxmlformats.org/spreadsheetml/2006/main" count="252" uniqueCount="101">
  <si>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</si>
  <si>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</si>
  <si>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</si>
  <si>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</si>
  <si>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</si>
  <si>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</si>
  <si>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</si>
  <si>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</si>
  <si>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</si>
  <si>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</si>
  <si>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</si>
  <si>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</si>
  <si>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PAGADO</t>
  </si>
  <si>
    <t>CUOTAS</t>
  </si>
  <si>
    <t>REFERENCIA</t>
  </si>
  <si>
    <t>LIBRE</t>
  </si>
  <si>
    <t>ADELANTO</t>
  </si>
  <si>
    <t>FALTA PAGAR</t>
  </si>
  <si>
    <t>AGUSTINA</t>
  </si>
  <si>
    <t>TARJETA NARANJA</t>
  </si>
  <si>
    <t>PRESTAMO NACION</t>
  </si>
  <si>
    <t>Total</t>
  </si>
  <si>
    <t>NARANJA</t>
  </si>
  <si>
    <t>NATIVA</t>
  </si>
  <si>
    <t>TARJETA NATIVA</t>
  </si>
  <si>
    <t>SUELDO DEPOSITADO</t>
  </si>
  <si>
    <t>EXTRAS</t>
  </si>
  <si>
    <t>RESUMEN</t>
  </si>
  <si>
    <t>PATO Y JUAN</t>
  </si>
  <si>
    <t>PRESTADO</t>
  </si>
  <si>
    <t>ADICIONALES</t>
  </si>
  <si>
    <t>AGINALDO</t>
  </si>
  <si>
    <t>COMPRAS EN Z</t>
  </si>
  <si>
    <t>ITEM</t>
  </si>
  <si>
    <t>REF</t>
  </si>
  <si>
    <t>JUN/DEC</t>
  </si>
  <si>
    <t>CAVI</t>
  </si>
  <si>
    <t>FAM</t>
  </si>
  <si>
    <t>REAL</t>
  </si>
  <si>
    <t>MOVISTAR</t>
  </si>
  <si>
    <t>Zeta 3</t>
  </si>
  <si>
    <t>CUOTAS EN Z</t>
  </si>
  <si>
    <t>GASTOS BASICOS</t>
  </si>
  <si>
    <t>GASTOS PERSONALES</t>
  </si>
  <si>
    <t>AHORRO</t>
  </si>
  <si>
    <t>VIVIENDA</t>
  </si>
  <si>
    <t>COMIDA</t>
  </si>
  <si>
    <t>VESTIMENTA</t>
  </si>
  <si>
    <t>ELECTRONICOS</t>
  </si>
  <si>
    <t>RESTAURANTES</t>
  </si>
  <si>
    <t>SALIDAS (DIVERSION)</t>
  </si>
  <si>
    <t>PLAZO FIJO</t>
  </si>
  <si>
    <t>FONDO DE SEGURIDAD</t>
  </si>
  <si>
    <t>INVERSIONES</t>
  </si>
  <si>
    <t>SUELDO</t>
  </si>
  <si>
    <t>AA - ZETA TOTAL</t>
  </si>
  <si>
    <t>GF - LA CAJA SEGURO SANDERO</t>
  </si>
  <si>
    <t>GF - CAJA SEGURO VIDA</t>
  </si>
  <si>
    <t>SD - YouTube Premium</t>
  </si>
  <si>
    <t>IM - IVA RG 4240 21%</t>
  </si>
  <si>
    <t>IM - IMPUESTOS Y GASTOS</t>
  </si>
  <si>
    <t>IM - IMPUESTO PAIS LEY 27541 8%</t>
  </si>
  <si>
    <t>IM - IVA OPERACIONES</t>
  </si>
  <si>
    <t>IM - IVA RG 4240 SERV DIG</t>
  </si>
  <si>
    <t>SD - SPOTIFY</t>
  </si>
  <si>
    <t>LA ANONIMA</t>
  </si>
  <si>
    <t>IM - MANTENIMIENTO OTROS</t>
  </si>
  <si>
    <t>PRESTAMOS</t>
  </si>
  <si>
    <t>SD - PLAYSTATION NETWORK</t>
  </si>
  <si>
    <t>SD - NARANJA X PLUS</t>
  </si>
  <si>
    <t>IM - IVA RG 5617 30%</t>
  </si>
  <si>
    <t>IM - PERCEPCIONRG5617ARCA</t>
  </si>
  <si>
    <t>PATENTE 6/6</t>
  </si>
  <si>
    <t>AIXA</t>
  </si>
  <si>
    <t>GASTOS BANCOS</t>
  </si>
  <si>
    <t>PRESTAMO NARANJA</t>
  </si>
  <si>
    <t>NUMERAL (MICRO) 4/4</t>
  </si>
  <si>
    <t>RIFA LUCIANO HRB</t>
  </si>
  <si>
    <t>AGUSTIN</t>
  </si>
  <si>
    <t>IM - SELLOS</t>
  </si>
  <si>
    <t>INTERESES FINANC.</t>
  </si>
  <si>
    <t>IVA 21%</t>
  </si>
  <si>
    <t>MPAGO (RED)</t>
  </si>
  <si>
    <t>PRESTAMO 3 0,51%</t>
  </si>
  <si>
    <t>PRESTAMO 2 0,43%</t>
  </si>
  <si>
    <t>PRESTAMO 1 0,43%</t>
  </si>
  <si>
    <t>PRESTAMO 4 0,70%</t>
  </si>
  <si>
    <t>PRESTAMO 2 $ 500.000 x 12</t>
  </si>
  <si>
    <t>Zeta 1</t>
  </si>
  <si>
    <t>CONSTRUCCION HIPPER1</t>
  </si>
  <si>
    <t>PRESTAMO 1 $2.800.00 x 18</t>
  </si>
  <si>
    <t>INTERNET</t>
  </si>
  <si>
    <t>INTERNET MOVISTAR</t>
  </si>
  <si>
    <t>COMPRA SUPER</t>
  </si>
  <si>
    <t>COMPRA 28/05</t>
  </si>
  <si>
    <t>PRESTAMO (27/36)</t>
  </si>
  <si>
    <t>PRESTAMO (26/36)</t>
  </si>
  <si>
    <t>PRESTAMO 3 (24/36)</t>
  </si>
  <si>
    <t>PRESTAMO 4 (29/60)</t>
  </si>
  <si>
    <t>PRESTAMO 5 (14/60)</t>
  </si>
  <si>
    <t>PRESTAMO MP</t>
  </si>
</sst>
</file>

<file path=xl/styles.xml><?xml version="1.0" encoding="utf-8"?>
<styleSheet xmlns="http://schemas.openxmlformats.org/spreadsheetml/2006/main">
  <numFmts count="4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-[$$-2C0A]\ * #,##0.00_-;\-[$$-2C0A]\ * #,##0.00_-;_-[$$-2C0A]\ * &quot;-&quot;??_-;_-@_-"/>
    <numFmt numFmtId="166" formatCode="&quot;$&quot;\ #,##0.00"/>
  </numFmts>
  <fonts count="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rgb="FF333333"/>
      <name val="Inherit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Inherit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scheme val="minor"/>
    </font>
    <font>
      <b/>
      <sz val="11"/>
      <color theme="0"/>
      <name val="Calibri"/>
      <scheme val="minor"/>
    </font>
    <font>
      <b/>
      <sz val="12"/>
      <name val="Calibri"/>
      <family val="2"/>
      <scheme val="minor"/>
    </font>
    <font>
      <sz val="1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8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164" fontId="0" fillId="0" borderId="0" xfId="0" applyNumberFormat="1"/>
    <xf numFmtId="0" fontId="0" fillId="2" borderId="0" xfId="0" applyFill="1"/>
    <xf numFmtId="0" fontId="3" fillId="0" borderId="0" xfId="0" applyFont="1" applyAlignment="1">
      <alignment horizontal="left" vertical="center" indent="1"/>
    </xf>
    <xf numFmtId="16" fontId="0" fillId="0" borderId="0" xfId="0" applyNumberFormat="1"/>
    <xf numFmtId="44" fontId="0" fillId="0" borderId="0" xfId="0" applyNumberFormat="1"/>
    <xf numFmtId="164" fontId="0" fillId="0" borderId="0" xfId="0" applyNumberFormat="1" applyProtection="1">
      <protection locked="0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1" xfId="0" applyBorder="1"/>
    <xf numFmtId="0" fontId="0" fillId="0" borderId="10" xfId="0" applyBorder="1"/>
    <xf numFmtId="44" fontId="0" fillId="0" borderId="10" xfId="0" applyNumberFormat="1" applyBorder="1"/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10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2" fillId="0" borderId="1" xfId="0" applyFont="1" applyBorder="1"/>
    <xf numFmtId="0" fontId="1" fillId="9" borderId="0" xfId="0" applyFont="1" applyFill="1"/>
    <xf numFmtId="0" fontId="1" fillId="6" borderId="0" xfId="0" applyFont="1" applyFill="1"/>
    <xf numFmtId="0" fontId="0" fillId="0" borderId="12" xfId="0" applyBorder="1" applyAlignment="1">
      <alignment horizontal="center"/>
    </xf>
    <xf numFmtId="164" fontId="0" fillId="0" borderId="2" xfId="0" applyNumberFormat="1" applyBorder="1" applyProtection="1">
      <protection locked="0"/>
    </xf>
    <xf numFmtId="164" fontId="0" fillId="0" borderId="7" xfId="0" applyNumberFormat="1" applyBorder="1" applyProtection="1">
      <protection locked="0"/>
    </xf>
    <xf numFmtId="0" fontId="0" fillId="0" borderId="13" xfId="0" applyBorder="1"/>
    <xf numFmtId="44" fontId="0" fillId="0" borderId="1" xfId="0" applyNumberFormat="1" applyBorder="1" applyProtection="1">
      <protection locked="0"/>
    </xf>
    <xf numFmtId="44" fontId="0" fillId="0" borderId="14" xfId="0" applyNumberFormat="1" applyBorder="1" applyProtection="1">
      <protection locked="0"/>
    </xf>
    <xf numFmtId="0" fontId="0" fillId="0" borderId="11" xfId="0" applyBorder="1"/>
    <xf numFmtId="44" fontId="0" fillId="0" borderId="8" xfId="0" applyNumberFormat="1" applyBorder="1" applyProtection="1">
      <protection locked="0"/>
    </xf>
    <xf numFmtId="44" fontId="0" fillId="0" borderId="9" xfId="0" applyNumberFormat="1" applyBorder="1" applyProtection="1">
      <protection locked="0"/>
    </xf>
    <xf numFmtId="44" fontId="11" fillId="0" borderId="0" xfId="0" applyNumberFormat="1" applyFont="1" applyAlignment="1">
      <alignment horizontal="right" vertical="center"/>
    </xf>
    <xf numFmtId="44" fontId="11" fillId="0" borderId="0" xfId="0" applyNumberFormat="1" applyFont="1"/>
    <xf numFmtId="0" fontId="12" fillId="0" borderId="0" xfId="0" applyFont="1"/>
    <xf numFmtId="0" fontId="13" fillId="4" borderId="5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2" borderId="8" xfId="0" applyNumberFormat="1" applyFill="1" applyBorder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left"/>
    </xf>
    <xf numFmtId="0" fontId="16" fillId="0" borderId="0" xfId="0" applyFont="1"/>
    <xf numFmtId="44" fontId="15" fillId="5" borderId="0" xfId="0" applyNumberFormat="1" applyFont="1" applyFill="1"/>
    <xf numFmtId="44" fontId="15" fillId="0" borderId="0" xfId="0" applyNumberFormat="1" applyFont="1" applyFill="1"/>
    <xf numFmtId="0" fontId="0" fillId="0" borderId="0" xfId="0" applyFill="1" applyAlignment="1">
      <alignment horizontal="center"/>
    </xf>
    <xf numFmtId="44" fontId="0" fillId="0" borderId="0" xfId="0" applyNumberFormat="1" applyFill="1" applyAlignment="1">
      <alignment horizontal="center"/>
    </xf>
    <xf numFmtId="0" fontId="0" fillId="0" borderId="0" xfId="0" applyFill="1"/>
    <xf numFmtId="165" fontId="0" fillId="0" borderId="0" xfId="0" applyNumberFormat="1" applyFill="1"/>
    <xf numFmtId="165" fontId="2" fillId="0" borderId="0" xfId="0" applyNumberFormat="1" applyFont="1" applyFill="1"/>
    <xf numFmtId="44" fontId="0" fillId="0" borderId="0" xfId="0" applyNumberFormat="1" applyFill="1"/>
    <xf numFmtId="44" fontId="2" fillId="0" borderId="0" xfId="0" applyNumberFormat="1" applyFont="1" applyFill="1" applyBorder="1" applyAlignment="1">
      <alignment horizontal="center"/>
    </xf>
    <xf numFmtId="44" fontId="7" fillId="0" borderId="0" xfId="0" applyNumberFormat="1" applyFont="1" applyFill="1"/>
    <xf numFmtId="44" fontId="14" fillId="0" borderId="0" xfId="0" applyNumberFormat="1" applyFont="1" applyFill="1"/>
    <xf numFmtId="44" fontId="0" fillId="0" borderId="1" xfId="0" applyNumberFormat="1" applyFill="1" applyBorder="1"/>
    <xf numFmtId="44" fontId="0" fillId="0" borderId="8" xfId="0" applyNumberFormat="1" applyFill="1" applyBorder="1"/>
    <xf numFmtId="0" fontId="17" fillId="0" borderId="1" xfId="0" applyFont="1" applyBorder="1"/>
    <xf numFmtId="44" fontId="17" fillId="0" borderId="1" xfId="0" applyNumberFormat="1" applyFont="1" applyBorder="1"/>
    <xf numFmtId="44" fontId="2" fillId="0" borderId="1" xfId="0" applyNumberFormat="1" applyFont="1" applyFill="1" applyBorder="1"/>
    <xf numFmtId="44" fontId="3" fillId="0" borderId="0" xfId="0" applyNumberFormat="1" applyFont="1" applyFill="1" applyAlignment="1">
      <alignment horizontal="right" vertical="center"/>
    </xf>
    <xf numFmtId="165" fontId="0" fillId="0" borderId="0" xfId="0" applyNumberFormat="1" applyFill="1" applyAlignment="1">
      <alignment horizontal="center"/>
    </xf>
    <xf numFmtId="0" fontId="8" fillId="0" borderId="1" xfId="0" applyFont="1" applyBorder="1"/>
    <xf numFmtId="166" fontId="0" fillId="0" borderId="1" xfId="0" applyNumberFormat="1" applyBorder="1"/>
    <xf numFmtId="9" fontId="0" fillId="0" borderId="1" xfId="0" applyNumberFormat="1" applyBorder="1"/>
    <xf numFmtId="0" fontId="8" fillId="0" borderId="1" xfId="0" applyFont="1" applyBorder="1" applyAlignment="1">
      <alignment horizontal="center"/>
    </xf>
    <xf numFmtId="0" fontId="8" fillId="0" borderId="13" xfId="0" applyFont="1" applyBorder="1"/>
    <xf numFmtId="0" fontId="0" fillId="0" borderId="11" xfId="0" applyFont="1" applyBorder="1" applyAlignment="1">
      <alignment horizontal="center" vertical="center"/>
    </xf>
    <xf numFmtId="0" fontId="2" fillId="0" borderId="1" xfId="0" applyFont="1" applyFill="1" applyBorder="1"/>
    <xf numFmtId="0" fontId="18" fillId="0" borderId="1" xfId="0" applyFont="1" applyFill="1" applyBorder="1"/>
    <xf numFmtId="44" fontId="2" fillId="0" borderId="1" xfId="0" applyNumberFormat="1" applyFont="1" applyFill="1" applyBorder="1" applyProtection="1">
      <protection locked="0"/>
    </xf>
    <xf numFmtId="44" fontId="2" fillId="0" borderId="13" xfId="0" applyNumberFormat="1" applyFont="1" applyFill="1" applyBorder="1" applyProtection="1">
      <protection locked="0"/>
    </xf>
    <xf numFmtId="44" fontId="2" fillId="0" borderId="14" xfId="0" applyNumberFormat="1" applyFont="1" applyFill="1" applyBorder="1" applyProtection="1">
      <protection locked="0"/>
    </xf>
    <xf numFmtId="0" fontId="16" fillId="9" borderId="0" xfId="0" applyFont="1" applyFill="1"/>
    <xf numFmtId="44" fontId="2" fillId="10" borderId="15" xfId="0" applyNumberFormat="1" applyFont="1" applyFill="1" applyBorder="1" applyAlignment="1">
      <alignment horizontal="center"/>
    </xf>
    <xf numFmtId="166" fontId="0" fillId="0" borderId="0" xfId="0" applyNumberFormat="1"/>
    <xf numFmtId="0" fontId="0" fillId="11" borderId="0" xfId="0" applyFill="1"/>
    <xf numFmtId="166" fontId="0" fillId="11" borderId="0" xfId="0" applyNumberFormat="1" applyFill="1"/>
    <xf numFmtId="44" fontId="2" fillId="12" borderId="15" xfId="0" applyNumberFormat="1" applyFont="1" applyFill="1" applyBorder="1" applyAlignment="1">
      <alignment horizontal="center"/>
    </xf>
    <xf numFmtId="44" fontId="8" fillId="11" borderId="0" xfId="0" applyNumberFormat="1" applyFont="1" applyFill="1"/>
    <xf numFmtId="44" fontId="8" fillId="0" borderId="0" xfId="0" applyNumberFormat="1" applyFont="1"/>
    <xf numFmtId="44" fontId="8" fillId="0" borderId="0" xfId="0" applyNumberFormat="1" applyFont="1" applyFill="1"/>
    <xf numFmtId="0" fontId="16" fillId="6" borderId="0" xfId="0" applyFont="1" applyFill="1"/>
    <xf numFmtId="0" fontId="18" fillId="0" borderId="8" xfId="0" applyFont="1" applyBorder="1"/>
    <xf numFmtId="44" fontId="15" fillId="0" borderId="8" xfId="0" applyNumberFormat="1" applyFont="1" applyBorder="1" applyProtection="1">
      <protection locked="0"/>
    </xf>
    <xf numFmtId="44" fontId="15" fillId="0" borderId="9" xfId="0" applyNumberFormat="1" applyFont="1" applyBorder="1" applyProtection="1">
      <protection locked="0"/>
    </xf>
    <xf numFmtId="0" fontId="18" fillId="0" borderId="14" xfId="0" applyFont="1" applyFill="1" applyBorder="1"/>
    <xf numFmtId="44" fontId="18" fillId="0" borderId="14" xfId="0" applyNumberFormat="1" applyFont="1" applyFill="1" applyBorder="1" applyProtection="1">
      <protection locked="0"/>
    </xf>
    <xf numFmtId="44" fontId="18" fillId="0" borderId="16" xfId="0" applyNumberFormat="1" applyFont="1" applyFill="1" applyBorder="1" applyProtection="1">
      <protection locked="0"/>
    </xf>
    <xf numFmtId="44" fontId="9" fillId="0" borderId="1" xfId="0" applyNumberFormat="1" applyFont="1" applyFill="1" applyBorder="1"/>
    <xf numFmtId="0" fontId="6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98"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protection locked="0" hidden="0"/>
    </dxf>
    <dxf>
      <border>
        <bottom style="thin">
          <color indexed="64"/>
        </bottom>
        <vertical/>
        <horizontal/>
      </border>
    </dxf>
    <dxf>
      <numFmt numFmtId="164" formatCode="_ &quot;$&quot;\ * #,##0.00_ ;_ &quot;$&quot;\ * \-#,##0.00_ ;_ &quot;$&quot;\ * &quot;-&quot;??_ ;_ @_ 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</patternFill>
      </fill>
      <alignment vertical="top" textRotation="0" wrapText="0" indent="0" relativeIndent="255" justifyLastLine="0" shrinkToFit="0" readingOrder="0"/>
      <border diagonalUp="0" diagonalDown="0" outline="0">
        <left style="thin">
          <color indexed="64"/>
        </left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top" textRotation="0" wrapText="0" indent="0" relativeIndent="255" justifyLastLine="0" shrinkToFit="0" readingOrder="0"/>
      <border diagonalUp="0" diagonalDown="0" outline="0">
        <left style="thin">
          <color indexed="64"/>
        </left>
      </border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4" formatCode="_-&quot;$&quot;\ * #,##0.00_-;\-&quot;$&quot;\ * #,##0.0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9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  <alignment horizontal="right" vertical="center" textRotation="0" wrapText="0" indent="0" relativeIndent="0" justifyLastLine="0" shrinkToFit="0" mergeCell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  <alignment horizontal="right" vertical="center" textRotation="0" wrapText="0" indent="0" relativeIndent="0" justifyLastLine="0" shrinkToFit="0" mergeCell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Inherit"/>
        <scheme val="none"/>
      </font>
      <numFmt numFmtId="34" formatCode="_-&quot;$&quot;\ * #,##0.00_-;\-&quot;$&quot;\ * #,##0.00_-;_-&quot;$&quot;\ * &quot;-&quot;??_-;_-@_-"/>
      <alignment horizontal="right" vertical="center" textRotation="0" wrapText="0" indent="0" relativeIndent="0" justifyLastLine="0" shrinkToFit="0" mergeCell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Inherit"/>
        <scheme val="none"/>
      </font>
      <alignment horizontal="left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Inherit"/>
        <scheme val="none"/>
      </font>
      <alignment horizontal="left" vertical="center" textRotation="0" wrapText="0" indent="1" relativeIndent="255" justifyLastLine="0" shrinkToFit="0" readingOrder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border outline="0">
        <top style="thin">
          <color theme="9"/>
        </top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.00"/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[$$-2C0A]\ * #,##0.00_-;\-[$$-2C0A]\ * #,##0.00_-;_-[$$-2C0A]\ * &quot;-&quot;??_-;_-@_-"/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numFmt numFmtId="165" formatCode="_-[$$-2C0A]\ * #,##0.00_-;\-[$$-2C0A]\ * #,##0.00_-;_-[$$-2C0A]\ * &quot;-&quot;??_-;_-@_-"/>
    </dxf>
    <dxf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relativeIndent="255" justifyLastLine="0" shrinkToFit="0" readingOrder="0"/>
    </dxf>
  </dxfs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3" name="Tabla714" displayName="Tabla714" ref="A2:N4" totalsRowCount="1" headerRowDxfId="297">
  <autoFilter ref="A2:N3"/>
  <sortState ref="A3:N6">
    <sortCondition descending="1" ref="F2:F6"/>
  </sortState>
  <tableColumns count="14">
    <tableColumn id="1" name="ITEM" totalsRowLabel="Total" dataDxfId="296"/>
    <tableColumn id="2" name="CUOTAS" dataDxfId="295"/>
    <tableColumn id="3" name="JULIO" totalsRowFunction="sum" dataDxfId="294"/>
    <tableColumn id="4" name="AGOSTO" totalsRowFunction="sum" dataDxfId="293"/>
    <tableColumn id="5" name="SEPTIEMBRE" totalsRowFunction="sum" dataDxfId="292"/>
    <tableColumn id="6" name="OCTUBRE" totalsRowFunction="sum" dataDxfId="291"/>
    <tableColumn id="7" name="NOVIEMBRE" totalsRowFunction="sum" dataDxfId="290" totalsRowDxfId="289"/>
    <tableColumn id="8" name="DICIEMBRE" totalsRowFunction="sum" dataDxfId="288" totalsRowDxfId="287"/>
    <tableColumn id="9" name="ENERO" totalsRowFunction="sum" dataDxfId="286" totalsRowDxfId="285"/>
    <tableColumn id="10" name="FEBRERO" totalsRowFunction="sum" dataDxfId="284" totalsRowDxfId="283"/>
    <tableColumn id="11" name="MARZO" totalsRowFunction="sum" dataDxfId="282" totalsRowDxfId="281"/>
    <tableColumn id="12" name="ABRIL" totalsRowFunction="sum" dataDxfId="280" totalsRowDxfId="279"/>
    <tableColumn id="13" name="MAYO" totalsRowFunction="sum" dataDxfId="278" totalsRowDxfId="277"/>
    <tableColumn id="14" name="JUNIO" totalsRowFunction="sum" dataDxfId="276" totalsRowDxfId="27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5" name="Tabla916" displayName="Tabla916" ref="A7:N9" totalsRowCount="1" dataDxfId="274">
  <autoFilter ref="A7:N8"/>
  <sortState ref="A11:N12">
    <sortCondition descending="1" ref="F10:F12"/>
  </sortState>
  <tableColumns count="14">
    <tableColumn id="1" name="ITEM" totalsRowLabel="Total" dataDxfId="273"/>
    <tableColumn id="2" name="CUOTAS" dataDxfId="272"/>
    <tableColumn id="3" name="JULIO" totalsRowFunction="sum" dataDxfId="271" totalsRowDxfId="270"/>
    <tableColumn id="4" name="AGOSTO" totalsRowFunction="sum" dataDxfId="269" totalsRowDxfId="268"/>
    <tableColumn id="5" name="SEPTIEMBRE" totalsRowFunction="sum" dataDxfId="267" totalsRowDxfId="266"/>
    <tableColumn id="6" name="OCTUBRE" totalsRowFunction="sum" dataDxfId="265" totalsRowDxfId="264"/>
    <tableColumn id="7" name="NOVIEMBRE" totalsRowFunction="sum" dataDxfId="263"/>
    <tableColumn id="8" name="DICIEMBRE" totalsRowFunction="sum" dataDxfId="262"/>
    <tableColumn id="9" name="ENERO" totalsRowFunction="sum" dataDxfId="261"/>
    <tableColumn id="10" name="FEBRERO" totalsRowFunction="sum" dataDxfId="260" totalsRowDxfId="259"/>
    <tableColumn id="11" name="MARZO" totalsRowFunction="sum" dataDxfId="258" totalsRowDxfId="257"/>
    <tableColumn id="12" name="ABRIL" totalsRowFunction="sum" dataDxfId="256" totalsRowDxfId="255"/>
    <tableColumn id="13" name="MAYO" totalsRowFunction="sum" dataDxfId="254" totalsRowDxfId="253"/>
    <tableColumn id="14" name="JUNIO" totalsRowFunction="sum" dataDxfId="252" totalsRowDxfId="25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16" name="Tabla1017" displayName="Tabla1017" ref="A12:N14" totalsRowCount="1" dataDxfId="250">
  <autoFilter ref="A12:N13"/>
  <tableColumns count="14">
    <tableColumn id="1" name="ITEM" totalsRowLabel="Total" dataDxfId="249"/>
    <tableColumn id="2" name="CUOTAS" dataDxfId="248"/>
    <tableColumn id="3" name="JULIO" totalsRowFunction="sum" dataDxfId="247" totalsRowDxfId="246"/>
    <tableColumn id="4" name="AGOSTO" totalsRowFunction="sum" dataDxfId="245" totalsRowDxfId="244"/>
    <tableColumn id="5" name="SEPTIEMBRE" totalsRowFunction="sum" dataDxfId="243" totalsRowDxfId="242"/>
    <tableColumn id="6" name="OCTUBRE" totalsRowFunction="sum" dataDxfId="241" totalsRowDxfId="240"/>
    <tableColumn id="7" name="NOVIEMBRE" totalsRowFunction="sum" dataDxfId="239" totalsRowDxfId="238"/>
    <tableColumn id="8" name="DICIEMBRE" totalsRowFunction="sum" dataDxfId="237" totalsRowDxfId="236"/>
    <tableColumn id="9" name="ENERO" totalsRowFunction="sum" dataDxfId="235" totalsRowDxfId="234"/>
    <tableColumn id="10" name="FEBRERO" totalsRowFunction="sum" dataDxfId="233" totalsRowDxfId="232"/>
    <tableColumn id="11" name="MARZO" totalsRowFunction="sum" dataDxfId="231" totalsRowDxfId="230"/>
    <tableColumn id="12" name="ABRIL" totalsRowFunction="sum" dataDxfId="229" totalsRowDxfId="228"/>
    <tableColumn id="13" name="MAYO" totalsRowFunction="sum" dataDxfId="227" totalsRowDxfId="226"/>
    <tableColumn id="14" name="JUNIO" totalsRowFunction="sum" dataDxfId="225" totalsRowDxfId="224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id="18" name="Tabla18" displayName="Tabla18" ref="A16:N20" totalsRowCount="1" headerRowDxfId="223" dataDxfId="221" headerRowBorderDxfId="222" tableBorderDxfId="220" totalsRowBorderDxfId="219">
  <autoFilter ref="A16:N19"/>
  <tableColumns count="14">
    <tableColumn id="1" name="ITEM" totalsRowLabel="Total" dataDxfId="218" totalsRowDxfId="217"/>
    <tableColumn id="2" name="REF" dataDxfId="216" totalsRowDxfId="215"/>
    <tableColumn id="3" name="JULIO" totalsRowFunction="sum" dataDxfId="214" totalsRowDxfId="213">
      <calculatedColumnFormula>SUM(Tabla1017[[#Totals],[JULIO]]+Tabla916[[#Totals],[JULIO]]+Tabla714[[#Totals],[JULIO]])</calculatedColumnFormula>
    </tableColumn>
    <tableColumn id="4" name="AGOSTO" totalsRowFunction="sum" dataDxfId="212" totalsRowDxfId="211">
      <calculatedColumnFormula>SUM(Tabla1017[[#Totals],[AGOSTO]]+Tabla916[[#Totals],[AGOSTO]]+Tabla714[[#Totals],[AGOSTO]])+#REF!</calculatedColumnFormula>
    </tableColumn>
    <tableColumn id="5" name="SEPTIEMBRE" totalsRowFunction="sum" dataDxfId="210" totalsRowDxfId="209">
      <calculatedColumnFormula>SUM(Tabla1017[[#Totals],[SEPTIEMBRE]]+Tabla916[[#Totals],[SEPTIEMBRE]]+Tabla714[[#Totals],[SEPTIEMBRE]])</calculatedColumnFormula>
    </tableColumn>
    <tableColumn id="6" name="OCTUBRE" totalsRowFunction="sum" dataDxfId="208" totalsRowDxfId="207">
      <calculatedColumnFormula>SUM(Tabla1017[[#Totals],[OCTUBRE]]+Tabla916[[#Totals],[OCTUBRE]]+Tabla714[[#Totals],[OCTUBRE]])</calculatedColumnFormula>
    </tableColumn>
    <tableColumn id="7" name="NOVIEMBRE" totalsRowFunction="sum" dataDxfId="206" totalsRowDxfId="205">
      <calculatedColumnFormula>SUM(Tabla1017[[#Totals],[NOVIEMBRE]]+Tabla916[[#Totals],[NOVIEMBRE]]+Tabla714[[#Totals],[NOVIEMBRE]])</calculatedColumnFormula>
    </tableColumn>
    <tableColumn id="8" name="DICIEMBRE" totalsRowFunction="sum" dataDxfId="204" totalsRowDxfId="203">
      <calculatedColumnFormula>SUM(Tabla1017[[#Totals],[DICIEMBRE]]+Tabla916[[#Totals],[DICIEMBRE]]+Tabla714[[#Totals],[DICIEMBRE]])</calculatedColumnFormula>
    </tableColumn>
    <tableColumn id="9" name="ENERO" totalsRowFunction="sum" dataDxfId="202" totalsRowDxfId="201">
      <calculatedColumnFormula>SUM(Tabla1017[[#Totals],[ENERO]]+Tabla916[[#Totals],[ENERO]]+Tabla714[[#Totals],[ENERO]])</calculatedColumnFormula>
    </tableColumn>
    <tableColumn id="10" name="FEBRERO" totalsRowFunction="sum" dataDxfId="200" totalsRowDxfId="199">
      <calculatedColumnFormula>SUM(Tabla1017[[#Totals],[FEBRERO]]+Tabla916[[#Totals],[FEBRERO]]+Tabla714[[#Totals],[FEBRERO]])</calculatedColumnFormula>
    </tableColumn>
    <tableColumn id="11" name="MARZO" totalsRowFunction="sum" dataDxfId="198" totalsRowDxfId="197">
      <calculatedColumnFormula>SUM(Tabla1017[[#Totals],[MARZO]]+Tabla916[[#Totals],[MARZO]]+Tabla714[[#Totals],[MARZO]])</calculatedColumnFormula>
    </tableColumn>
    <tableColumn id="12" name="ABRIL" totalsRowFunction="sum" dataDxfId="196" totalsRowDxfId="195">
      <calculatedColumnFormula>SUM(Tabla1017[[#Totals],[ABRIL]]+Tabla916[[#Totals],[ABRIL]]+Tabla714[[#Totals],[ABRIL]])</calculatedColumnFormula>
    </tableColumn>
    <tableColumn id="13" name="MAYO" totalsRowFunction="sum" dataDxfId="194" totalsRowDxfId="193">
      <calculatedColumnFormula>SUM(Tabla1017[[#Totals],[MAYO]]+Tabla916[[#Totals],[MAYO]]+Tabla714[[#Totals],[MAYO]])</calculatedColumnFormula>
    </tableColumn>
    <tableColumn id="14" name="JUNIO" totalsRowFunction="sum" dataDxfId="192" totalsRowDxfId="191">
      <calculatedColumnFormula>SUM(Tabla1017[[#Totals],[JUNIO]]+Tabla916[[#Totals],[JUNIO]]+Tabla714[[#Totals],[JUNIO]])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2" name="NATIVA" displayName="NATIVA" ref="A1:M12" totalsRowCount="1" headerRowDxfId="190" dataDxfId="189" tableBorderDxfId="188">
  <autoFilter ref="A1:M11"/>
  <sortState ref="A2:M14">
    <sortCondition descending="1" ref="H1:H14"/>
  </sortState>
  <tableColumns count="13">
    <tableColumn id="1" name="NATIVA" totalsRowLabel="Total" dataDxfId="187"/>
    <tableColumn id="4" name="JULIO" totalsRowFunction="sum" dataDxfId="186" totalsRowDxfId="185"/>
    <tableColumn id="5" name="AGOSTO" totalsRowFunction="sum" dataDxfId="184" totalsRowDxfId="183"/>
    <tableColumn id="6" name="SEPTIEMBRE" totalsRowFunction="sum" dataDxfId="182" totalsRowDxfId="181"/>
    <tableColumn id="7" name="OCTUBRE" totalsRowFunction="sum" dataDxfId="180" totalsRowDxfId="179"/>
    <tableColumn id="8" name="NOVIEMBRE" totalsRowFunction="sum" dataDxfId="178" totalsRowDxfId="177"/>
    <tableColumn id="9" name="DICIEMBRE" totalsRowFunction="sum" dataDxfId="176" totalsRowDxfId="175"/>
    <tableColumn id="10" name="ENERO" totalsRowFunction="sum" dataDxfId="174" totalsRowDxfId="173"/>
    <tableColumn id="11" name="FEBRERO" totalsRowFunction="sum" dataDxfId="172" totalsRowDxfId="171"/>
    <tableColumn id="12" name="MARZO" totalsRowFunction="sum" dataDxfId="170" totalsRowDxfId="169"/>
    <tableColumn id="13" name="ABRIL" totalsRowFunction="sum" dataDxfId="168" totalsRowDxfId="167"/>
    <tableColumn id="14" name="MAYO" totalsRowFunction="sum" dataDxfId="166" totalsRowDxfId="165"/>
    <tableColumn id="15" name="JUNIO" totalsRowFunction="sum" dataDxfId="164" totalsRowDxfId="163"/>
  </tableColumns>
  <tableStyleInfo name="TableStyleDark6" showFirstColumn="0" showLastColumn="0" showRowStripes="1" showColumnStripes="0"/>
</table>
</file>

<file path=xl/tables/table6.xml><?xml version="1.0" encoding="utf-8"?>
<table xmlns="http://schemas.openxmlformats.org/spreadsheetml/2006/main" id="9" name="PRESNAC" displayName="PRESNAC" ref="A1:M7" totalsRowCount="1" headerRowDxfId="162">
  <autoFilter ref="A1:M6"/>
  <sortState ref="A38:M46">
    <sortCondition ref="A40:A49"/>
  </sortState>
  <tableColumns count="13">
    <tableColumn id="1" name="PRESTAMO NACION" totalsRowLabel="Total"/>
    <tableColumn id="4" name="JULIO" totalsRowFunction="sum" dataDxfId="161" totalsRowDxfId="160"/>
    <tableColumn id="5" name="AGOSTO" totalsRowFunction="sum" dataDxfId="159" totalsRowDxfId="158"/>
    <tableColumn id="6" name="SEPTIEMBRE" totalsRowFunction="sum" dataDxfId="157" totalsRowDxfId="156"/>
    <tableColumn id="7" name="OCTUBRE" totalsRowFunction="sum" dataDxfId="155" totalsRowDxfId="154"/>
    <tableColumn id="8" name="NOVIEMBRE" totalsRowFunction="sum" dataDxfId="153" totalsRowDxfId="152"/>
    <tableColumn id="9" name="DICIEMBRE" totalsRowFunction="sum" dataDxfId="151" totalsRowDxfId="150"/>
    <tableColumn id="10" name="ENERO" totalsRowFunction="sum" dataDxfId="149" totalsRowDxfId="148"/>
    <tableColumn id="11" name="FEBRERO" totalsRowFunction="sum" dataDxfId="147" totalsRowDxfId="146"/>
    <tableColumn id="12" name="MARZO" totalsRowFunction="sum" dataDxfId="145" totalsRowDxfId="144"/>
    <tableColumn id="13" name="ABRIL" totalsRowFunction="sum" dataDxfId="143" totalsRowDxfId="142"/>
    <tableColumn id="14" name="MAYO" totalsRowFunction="sum" dataDxfId="141" totalsRowDxfId="140"/>
    <tableColumn id="15" name="JUNIO" totalsRowFunction="sum" dataDxfId="139" totalsRowDxfId="138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id="1" name="NARANJA" displayName="NARANJA" ref="A3:M20" totalsRowCount="1">
  <autoFilter ref="A3:M19"/>
  <sortState ref="A4:M25">
    <sortCondition ref="A3:A25"/>
  </sortState>
  <tableColumns count="13">
    <tableColumn id="1" name="NARANJA" totalsRowLabel="Total" dataDxfId="137" totalsRowDxfId="136"/>
    <tableColumn id="4" name="JULIO" totalsRowFunction="sum" dataDxfId="135" totalsRowDxfId="134"/>
    <tableColumn id="5" name="AGOSTO" totalsRowFunction="sum" dataDxfId="133" totalsRowDxfId="132"/>
    <tableColumn id="6" name="SEPTIEMBRE" totalsRowFunction="sum" dataDxfId="131" totalsRowDxfId="130"/>
    <tableColumn id="7" name="OCTUBRE" totalsRowFunction="sum" dataDxfId="129" totalsRowDxfId="128"/>
    <tableColumn id="8" name="NOVIEMBRE" totalsRowFunction="sum" dataDxfId="127" totalsRowDxfId="126"/>
    <tableColumn id="9" name="DICIEMBRE" totalsRowFunction="sum" dataDxfId="125" totalsRowDxfId="124"/>
    <tableColumn id="10" name="ENERO" totalsRowFunction="sum" dataDxfId="123" totalsRowDxfId="122"/>
    <tableColumn id="11" name="FEBRERO" totalsRowFunction="sum" dataDxfId="121" totalsRowDxfId="120"/>
    <tableColumn id="2" name="MARZO" totalsRowFunction="sum" dataDxfId="119" totalsRowDxfId="118"/>
    <tableColumn id="3" name="ABRIL" totalsRowFunction="sum" dataDxfId="117" totalsRowDxfId="116"/>
    <tableColumn id="12" name="MAYO" totalsRowFunction="sum" dataDxfId="115" totalsRowDxfId="114"/>
    <tableColumn id="13" name="JUNIO" totalsRowFunction="sum" dataDxfId="113" totalsRowDxfId="112"/>
  </tableColumns>
  <tableStyleInfo name="TableStyleMedium14" showFirstColumn="1" showLastColumn="0" showRowStripes="1" showColumnStripes="1"/>
</table>
</file>

<file path=xl/tables/table8.xml><?xml version="1.0" encoding="utf-8"?>
<table xmlns="http://schemas.openxmlformats.org/spreadsheetml/2006/main" id="11" name="Tabla11" displayName="Tabla11" ref="A22:M35" totalsRowCount="1" headerRowDxfId="111" tableBorderDxfId="110">
  <autoFilter ref="A22:M34"/>
  <tableColumns count="13">
    <tableColumn id="1" name="COMPRAS EN Z" totalsRowLabel="Total" dataDxfId="109" totalsRowDxfId="108"/>
    <tableColumn id="2" name="JULIO" totalsRowFunction="sum" dataDxfId="107"/>
    <tableColumn id="3" name="AGOSTO" totalsRowFunction="sum" dataDxfId="106"/>
    <tableColumn id="4" name="SEPTIEMBRE" totalsRowFunction="sum" dataDxfId="105"/>
    <tableColumn id="5" name="OCTUBRE" totalsRowFunction="sum" dataDxfId="104"/>
    <tableColumn id="6" name="NOVIEMBRE" totalsRowFunction="sum" dataDxfId="103"/>
    <tableColumn id="7" name="DICIEMBRE" totalsRowFunction="sum" dataDxfId="102"/>
    <tableColumn id="8" name="ENERO" totalsRowFunction="sum" dataDxfId="101"/>
    <tableColumn id="9" name="FEBRERO" totalsRowFunction="sum" dataDxfId="100"/>
    <tableColumn id="10" name="MARZO" totalsRowFunction="sum" dataDxfId="99"/>
    <tableColumn id="11" name="ABRIL" totalsRowFunction="sum" dataDxfId="98"/>
    <tableColumn id="12" name="MAYO" totalsRowFunction="sum" dataDxfId="97"/>
    <tableColumn id="13" name="JUNIO" totalsRowFunction="sum" dataDxfId="96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id="7" name="ZETA3" displayName="ZETA3" ref="A37:M42" totalsRowCount="1" headerRowDxfId="95" dataDxfId="94" totalsRowDxfId="93">
  <autoFilter ref="A37:M41"/>
  <tableColumns count="13">
    <tableColumn id="1" name="CUOTAS EN Z" totalsRowLabel="Total" dataDxfId="92" totalsRowDxfId="91"/>
    <tableColumn id="2" name="JULIO" totalsRowFunction="sum" dataDxfId="90" totalsRowDxfId="89"/>
    <tableColumn id="3" name="AGOSTO" totalsRowFunction="sum" dataDxfId="88" totalsRowDxfId="87"/>
    <tableColumn id="4" name="SEPTIEMBRE" totalsRowFunction="sum" dataDxfId="86" totalsRowDxfId="85"/>
    <tableColumn id="5" name="OCTUBRE" totalsRowFunction="sum" dataDxfId="84" totalsRowDxfId="83"/>
    <tableColumn id="6" name="NOVIEMBRE" totalsRowFunction="sum" dataDxfId="82" totalsRowDxfId="81"/>
    <tableColumn id="7" name="DICIEMBRE" totalsRowFunction="sum" dataDxfId="80" totalsRowDxfId="79"/>
    <tableColumn id="8" name="ENERO" totalsRowFunction="sum" dataDxfId="78" totalsRowDxfId="77"/>
    <tableColumn id="9" name="FEBRERO" totalsRowFunction="sum" dataDxfId="76" totalsRowDxfId="75"/>
    <tableColumn id="10" name="MARZO" totalsRowFunction="sum" dataDxfId="74" totalsRowDxfId="73"/>
    <tableColumn id="11" name="ABRIL" totalsRowFunction="sum" dataDxfId="72" totalsRowDxfId="71"/>
    <tableColumn id="12" name="MAYO" totalsRowFunction="sum" dataDxfId="70" totalsRowDxfId="69"/>
    <tableColumn id="13" name="JUNIO" totalsRowFunction="sum" dataDxfId="68" totalsRowDxfId="67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id="3" name="GRAL" displayName="GRAL" ref="A1:M11" totalsRowCount="1" headerRowDxfId="63" dataDxfId="61" totalsRowDxfId="59" headerRowBorderDxfId="62" tableBorderDxfId="60" totalsRowBorderDxfId="58">
  <autoFilter ref="A1:M10"/>
  <sortState ref="A2:M8">
    <sortCondition ref="A1:A8"/>
  </sortState>
  <tableColumns count="13">
    <tableColumn id="2" name="REFERENCIA" dataDxfId="57" totalsRowDxfId="56"/>
    <tableColumn id="3" name="JULIO" totalsRowFunction="sum" dataDxfId="55" totalsRowDxfId="54"/>
    <tableColumn id="4" name="AGOSTO" totalsRowFunction="sum" dataDxfId="53" totalsRowDxfId="52"/>
    <tableColumn id="5" name="SEPTIEMBRE" totalsRowFunction="sum" dataDxfId="51" totalsRowDxfId="50"/>
    <tableColumn id="6" name="OCTUBRE" totalsRowFunction="sum" dataDxfId="49" totalsRowDxfId="48"/>
    <tableColumn id="7" name="NOVIEMBRE" totalsRowFunction="sum" dataDxfId="47" totalsRowDxfId="46"/>
    <tableColumn id="8" name="DICIEMBRE" totalsRowFunction="sum" dataDxfId="45" totalsRowDxfId="44"/>
    <tableColumn id="9" name="ENERO" totalsRowFunction="sum" dataDxfId="43" totalsRowDxfId="42"/>
    <tableColumn id="10" name="FEBRERO" totalsRowFunction="sum" dataDxfId="41" totalsRowDxfId="40"/>
    <tableColumn id="11" name="MARZO" totalsRowFunction="sum" dataDxfId="39" totalsRowDxfId="38"/>
    <tableColumn id="12" name="ABRIL" totalsRowFunction="sum" dataDxfId="37" totalsRowDxfId="36"/>
    <tableColumn id="13" name="MAYO" totalsRowFunction="sum" dataDxfId="35" totalsRowDxfId="34"/>
    <tableColumn id="14" name="JUNIO" totalsRowFunction="sum" dataDxfId="33" totalsRowDxfId="32"/>
  </tableColumns>
  <tableStyleInfo name="TableStyleMedium14" showFirstColumn="1" showLastColumn="0" showRowStripes="1" showColumnStripes="0"/>
</table>
</file>

<file path=xl/tables/table11.xml><?xml version="1.0" encoding="utf-8"?>
<table xmlns="http://schemas.openxmlformats.org/spreadsheetml/2006/main" id="6" name="RESUMEN" displayName="RESUMEN" ref="A13:M21" totalsRowCount="1" headerRowDxfId="31" dataDxfId="29" totalsRowDxfId="27" headerRowBorderDxfId="30" tableBorderDxfId="28" totalsRowBorderDxfId="26">
  <autoFilter ref="A13:M20"/>
  <tableColumns count="13">
    <tableColumn id="1" name="RESUMEN" totalsRowLabel="LIBRE" dataDxfId="25" totalsRowDxfId="24"/>
    <tableColumn id="2" name="JULIO" totalsRowFunction="custom" dataDxfId="23" totalsRowDxfId="22">
      <totalsRowFormula>B14-GRAL[[#Totals],[JULIO]]</totalsRowFormula>
    </tableColumn>
    <tableColumn id="3" name="AGOSTO" totalsRowFunction="custom" dataDxfId="21" totalsRowDxfId="20">
      <totalsRowFormula>C14-GRAL[[#Totals],[AGOSTO]]</totalsRowFormula>
    </tableColumn>
    <tableColumn id="4" name="SEPTIEMBRE" totalsRowFunction="custom" dataDxfId="19" totalsRowDxfId="18">
      <totalsRowFormula>D14-GRAL[[#Totals],[SEPTIEMBRE]]</totalsRowFormula>
    </tableColumn>
    <tableColumn id="5" name="OCTUBRE" totalsRowFunction="custom" dataDxfId="17" totalsRowDxfId="16">
      <totalsRowFormula>E14-GRAL[[#Totals],[OCTUBRE]]</totalsRowFormula>
    </tableColumn>
    <tableColumn id="6" name="NOVIEMBRE" totalsRowFunction="custom" dataDxfId="15" totalsRowDxfId="14">
      <totalsRowFormula>F14-GRAL[[#Totals],[NOVIEMBRE]]</totalsRowFormula>
    </tableColumn>
    <tableColumn id="7" name="DICIEMBRE" totalsRowFunction="custom" dataDxfId="13" totalsRowDxfId="12">
      <totalsRowFormula>G14-GRAL[[#Totals],[DICIEMBRE]]</totalsRowFormula>
    </tableColumn>
    <tableColumn id="8" name="ENERO" totalsRowFunction="custom" dataDxfId="11" totalsRowDxfId="10">
      <totalsRowFormula>H14-GRAL[[#Totals],[ENERO]]</totalsRowFormula>
    </tableColumn>
    <tableColumn id="9" name="FEBRERO" totalsRowFunction="custom" dataDxfId="9" totalsRowDxfId="8">
      <totalsRowFormula>I14-GRAL[[#Totals],[FEBRERO]]</totalsRowFormula>
    </tableColumn>
    <tableColumn id="10" name="MARZO" totalsRowFunction="custom" dataDxfId="7" totalsRowDxfId="6">
      <totalsRowFormula>J14-GRAL[[#Totals],[MARZO]]</totalsRowFormula>
    </tableColumn>
    <tableColumn id="11" name="ABRIL" totalsRowFunction="custom" dataDxfId="5" totalsRowDxfId="4">
      <totalsRowFormula>K14-GRAL[[#Totals],[ABRIL]]</totalsRowFormula>
    </tableColumn>
    <tableColumn id="12" name="MAYO" totalsRowFunction="custom" dataDxfId="3" totalsRowDxfId="2">
      <totalsRowFormula>L14-GRAL[[#Totals],[MAYO]]</totalsRowFormula>
    </tableColumn>
    <tableColumn id="13" name="JUNIO" totalsRowFunction="custom" dataDxfId="1" totalsRowDxfId="0">
      <totalsRowFormula>M14-GRAL[[#Totals],[MARZO]]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>
    <tabColor rgb="FF7030A0"/>
  </sheetPr>
  <dimension ref="A1:N20"/>
  <sheetViews>
    <sheetView zoomScale="130" zoomScaleNormal="130" workbookViewId="0">
      <selection activeCell="C19" sqref="C19"/>
    </sheetView>
  </sheetViews>
  <sheetFormatPr baseColWidth="10" defaultRowHeight="14.4"/>
  <cols>
    <col min="1" max="1" width="14.88671875" bestFit="1" customWidth="1"/>
    <col min="2" max="2" width="10.33203125" customWidth="1"/>
    <col min="3" max="3" width="15.44140625" bestFit="1" customWidth="1"/>
    <col min="4" max="4" width="14" bestFit="1" customWidth="1"/>
    <col min="5" max="5" width="15.44140625" bestFit="1" customWidth="1"/>
    <col min="6" max="6" width="13.6640625" bestFit="1" customWidth="1"/>
    <col min="7" max="7" width="16.44140625" bestFit="1" customWidth="1"/>
    <col min="8" max="8" width="13.5546875" bestFit="1" customWidth="1"/>
    <col min="9" max="10" width="13.6640625" bestFit="1" customWidth="1"/>
    <col min="11" max="11" width="16.5546875" bestFit="1" customWidth="1"/>
    <col min="12" max="12" width="14" bestFit="1" customWidth="1"/>
    <col min="13" max="13" width="13.88671875" customWidth="1"/>
    <col min="14" max="14" width="12.6640625" customWidth="1"/>
  </cols>
  <sheetData>
    <row r="1" spans="1:14" ht="23.4">
      <c r="A1" s="107" t="s">
        <v>28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4">
      <c r="A2" s="11" t="s">
        <v>33</v>
      </c>
      <c r="B2" s="11" t="s">
        <v>13</v>
      </c>
      <c r="C2" s="11" t="s">
        <v>11</v>
      </c>
      <c r="D2" s="11" t="s">
        <v>0</v>
      </c>
      <c r="E2" s="11" t="s">
        <v>1</v>
      </c>
      <c r="F2" s="11" t="s">
        <v>2</v>
      </c>
      <c r="G2" s="11" t="s">
        <v>3</v>
      </c>
      <c r="H2" s="11" t="s">
        <v>4</v>
      </c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11" t="s">
        <v>10</v>
      </c>
    </row>
    <row r="3" spans="1:14">
      <c r="A3" s="63"/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>
      <c r="A4" t="s">
        <v>21</v>
      </c>
      <c r="C4" s="5">
        <f>SUBTOTAL(109,[JULIO])</f>
        <v>0</v>
      </c>
      <c r="D4" s="5">
        <f>SUBTOTAL(109,[AGOSTO])</f>
        <v>0</v>
      </c>
      <c r="E4" s="5">
        <f>SUBTOTAL(109,[SEPTIEMBRE])</f>
        <v>0</v>
      </c>
      <c r="F4" s="5">
        <f>SUBTOTAL(109,[OCTUBRE])</f>
        <v>0</v>
      </c>
      <c r="G4" s="5">
        <f>SUBTOTAL(109,[NOVIEMBRE])</f>
        <v>0</v>
      </c>
      <c r="H4" s="5">
        <f>SUBTOTAL(109,[DICIEMBRE])</f>
        <v>0</v>
      </c>
      <c r="I4" s="5">
        <f>SUBTOTAL(109,[ENERO])</f>
        <v>0</v>
      </c>
      <c r="J4" s="5">
        <f>SUBTOTAL(109,[FEBRERO])</f>
        <v>0</v>
      </c>
      <c r="K4" s="5">
        <f>SUBTOTAL(109,[MARZO])</f>
        <v>0</v>
      </c>
      <c r="L4" s="5">
        <f>SUBTOTAL(109,[ABRIL])</f>
        <v>0</v>
      </c>
      <c r="M4" s="5">
        <f>SUBTOTAL(109,[MAYO])</f>
        <v>0</v>
      </c>
      <c r="N4" s="5">
        <f>SUBTOTAL(109,[JUNIO])</f>
        <v>0</v>
      </c>
    </row>
    <row r="6" spans="1:14" ht="23.4">
      <c r="A6" s="107" t="s">
        <v>67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</row>
    <row r="7" spans="1:14">
      <c r="A7" s="11" t="s">
        <v>33</v>
      </c>
      <c r="B7" s="11" t="s">
        <v>13</v>
      </c>
      <c r="C7" s="11" t="s">
        <v>11</v>
      </c>
      <c r="D7" t="s">
        <v>0</v>
      </c>
      <c r="E7" s="11" t="s">
        <v>1</v>
      </c>
      <c r="F7" t="s">
        <v>2</v>
      </c>
      <c r="G7" s="11" t="s">
        <v>3</v>
      </c>
      <c r="H7" t="s">
        <v>4</v>
      </c>
      <c r="I7" s="11" t="s">
        <v>5</v>
      </c>
      <c r="J7" t="s">
        <v>6</v>
      </c>
      <c r="K7" s="11" t="s">
        <v>7</v>
      </c>
      <c r="L7" t="s">
        <v>8</v>
      </c>
      <c r="M7" s="11" t="s">
        <v>9</v>
      </c>
      <c r="N7" t="s">
        <v>10</v>
      </c>
    </row>
    <row r="8" spans="1:14">
      <c r="A8" s="11"/>
      <c r="B8" s="11"/>
      <c r="C8" s="29"/>
      <c r="D8" s="12"/>
      <c r="E8" s="29"/>
      <c r="F8" s="29"/>
      <c r="G8" s="78"/>
      <c r="H8" s="66"/>
      <c r="I8" s="78"/>
      <c r="J8" s="12"/>
      <c r="K8" s="29"/>
      <c r="L8" s="12"/>
      <c r="M8" s="29"/>
      <c r="N8" s="12"/>
    </row>
    <row r="9" spans="1:14">
      <c r="A9" t="s">
        <v>21</v>
      </c>
      <c r="C9" s="12">
        <f>SUBTOTAL(109,[JULIO])</f>
        <v>0</v>
      </c>
      <c r="D9" s="12">
        <f>SUBTOTAL(109,[AGOSTO])</f>
        <v>0</v>
      </c>
      <c r="E9" s="12">
        <f>SUBTOTAL(109,[SEPTIEMBRE])</f>
        <v>0</v>
      </c>
      <c r="F9" s="12">
        <f>SUBTOTAL(109,[OCTUBRE])</f>
        <v>0</v>
      </c>
      <c r="G9" s="12">
        <f>SUBTOTAL(109,[NOVIEMBRE])</f>
        <v>0</v>
      </c>
      <c r="H9" s="12">
        <f>SUBTOTAL(109,[DICIEMBRE])</f>
        <v>0</v>
      </c>
      <c r="I9" s="12">
        <f>SUBTOTAL(109,[ENERO])</f>
        <v>0</v>
      </c>
      <c r="J9" s="12">
        <f>SUBTOTAL(109,[FEBRERO])</f>
        <v>0</v>
      </c>
      <c r="K9" s="12">
        <f>SUBTOTAL(109,[MARZO])</f>
        <v>0</v>
      </c>
      <c r="L9" s="12">
        <f>SUBTOTAL(109,[ABRIL])</f>
        <v>0</v>
      </c>
      <c r="M9" s="12">
        <f>SUBTOTAL(109,[MAYO])</f>
        <v>0</v>
      </c>
      <c r="N9" s="12">
        <f>SUBTOTAL(109,[JUNIO])</f>
        <v>0</v>
      </c>
    </row>
    <row r="11" spans="1:14" ht="23.4">
      <c r="A11" s="107" t="s">
        <v>78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</row>
    <row r="12" spans="1:14">
      <c r="A12" t="s">
        <v>33</v>
      </c>
      <c r="B12" t="s">
        <v>13</v>
      </c>
      <c r="C12" t="s">
        <v>11</v>
      </c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5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</row>
    <row r="13" spans="1:14">
      <c r="A13" s="65"/>
      <c r="B13" s="65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7"/>
    </row>
    <row r="14" spans="1:14">
      <c r="A14" t="s">
        <v>21</v>
      </c>
      <c r="C14" s="12">
        <f>SUBTOTAL(109,[JULIO])</f>
        <v>0</v>
      </c>
      <c r="D14" s="12">
        <f>SUBTOTAL(109,[AGOSTO])</f>
        <v>0</v>
      </c>
      <c r="E14" s="12">
        <f>SUBTOTAL(109,[SEPTIEMBRE])</f>
        <v>0</v>
      </c>
      <c r="F14" s="12">
        <f>SUBTOTAL(109,[OCTUBRE])</f>
        <v>0</v>
      </c>
      <c r="G14" s="12">
        <f>SUBTOTAL(109,[NOVIEMBRE])</f>
        <v>0</v>
      </c>
      <c r="H14" s="12">
        <f>SUBTOTAL(109,[DICIEMBRE])</f>
        <v>0</v>
      </c>
      <c r="I14" s="12">
        <f>SUBTOTAL(109,[ENERO])</f>
        <v>0</v>
      </c>
      <c r="J14" s="12">
        <f>SUBTOTAL(109,[FEBRERO])</f>
        <v>0</v>
      </c>
      <c r="K14" s="12">
        <f>SUBTOTAL(109,[MARZO])</f>
        <v>0</v>
      </c>
      <c r="L14" s="12">
        <f>SUBTOTAL(109,[ABRIL])</f>
        <v>0</v>
      </c>
      <c r="M14" s="12">
        <f>SUBTOTAL(109,[MAYO])</f>
        <v>0</v>
      </c>
      <c r="N14" s="12">
        <f>SUBTOTAL(109,[JUNIO])</f>
        <v>0</v>
      </c>
    </row>
    <row r="16" spans="1:14">
      <c r="A16" s="16" t="s">
        <v>33</v>
      </c>
      <c r="B16" s="17" t="s">
        <v>34</v>
      </c>
      <c r="C16" s="17" t="s">
        <v>11</v>
      </c>
      <c r="D16" s="17" t="s">
        <v>0</v>
      </c>
      <c r="E16" s="17" t="s">
        <v>1</v>
      </c>
      <c r="F16" s="17" t="s">
        <v>2</v>
      </c>
      <c r="G16" s="17" t="s">
        <v>3</v>
      </c>
      <c r="H16" s="17" t="s">
        <v>4</v>
      </c>
      <c r="I16" s="17" t="s">
        <v>5</v>
      </c>
      <c r="J16" s="17" t="s">
        <v>6</v>
      </c>
      <c r="K16" s="17" t="s">
        <v>7</v>
      </c>
      <c r="L16" s="17" t="s">
        <v>8</v>
      </c>
      <c r="M16" s="17" t="s">
        <v>9</v>
      </c>
      <c r="N16" s="18" t="s">
        <v>10</v>
      </c>
    </row>
    <row r="17" spans="1:14">
      <c r="A17" s="19" t="s">
        <v>29</v>
      </c>
      <c r="B17" s="20" t="s">
        <v>37</v>
      </c>
      <c r="C17" s="23">
        <f>SUM(Tabla1017[[#Totals],[JULIO]]+Tabla916[[#Totals],[JULIO]]+Tabla714[[#Totals],[JULIO]])</f>
        <v>0</v>
      </c>
      <c r="D17" s="23">
        <f>SUM(Tabla1017[[#Totals],[AGOSTO]]+Tabla916[[#Totals],[AGOSTO]]+Tabla714[[#Totals],[AGOSTO]])</f>
        <v>0</v>
      </c>
      <c r="E17" s="23">
        <f>SUM(Tabla1017[[#Totals],[SEPTIEMBRE]]+Tabla916[[#Totals],[SEPTIEMBRE]]+Tabla714[[#Totals],[SEPTIEMBRE]])</f>
        <v>0</v>
      </c>
      <c r="F17" s="23">
        <f>SUM(Tabla1017[[#Totals],[OCTUBRE]]+Tabla916[[#Totals],[OCTUBRE]]+Tabla714[[#Totals],[OCTUBRE]])</f>
        <v>0</v>
      </c>
      <c r="G17" s="23">
        <f>SUM(Tabla1017[[#Totals],[NOVIEMBRE]]+Tabla916[[#Totals],[NOVIEMBRE]]+Tabla714[[#Totals],[NOVIEMBRE]])</f>
        <v>0</v>
      </c>
      <c r="H17" s="23">
        <f>SUM(Tabla1017[[#Totals],[DICIEMBRE]]+Tabla916[[#Totals],[DICIEMBRE]]+Tabla714[[#Totals],[DICIEMBRE]])</f>
        <v>0</v>
      </c>
      <c r="I17" s="23">
        <f>SUM(Tabla1017[[#Totals],[ENERO]]+Tabla916[[#Totals],[ENERO]]+Tabla714[[#Totals],[ENERO]])</f>
        <v>0</v>
      </c>
      <c r="J17" s="23">
        <f>SUM(Tabla1017[[#Totals],[FEBRERO]]+Tabla916[[#Totals],[FEBRERO]]+Tabla714[[#Totals],[FEBRERO]])</f>
        <v>0</v>
      </c>
      <c r="K17" s="23">
        <f>SUM(Tabla1017[[#Totals],[MARZO]]+Tabla916[[#Totals],[MARZO]]+Tabla714[[#Totals],[MARZO]])</f>
        <v>0</v>
      </c>
      <c r="L17" s="23">
        <f>SUM(Tabla1017[[#Totals],[ABRIL]]+Tabla916[[#Totals],[ABRIL]]+Tabla714[[#Totals],[ABRIL]])</f>
        <v>0</v>
      </c>
      <c r="M17" s="23">
        <f>SUM(Tabla1017[[#Totals],[MAYO]]+Tabla916[[#Totals],[MAYO]]+Tabla714[[#Totals],[MAYO]])</f>
        <v>0</v>
      </c>
      <c r="N17" s="23">
        <f>SUM(Tabla1017[[#Totals],[JUNIO]]+Tabla916[[#Totals],[JUNIO]]+Tabla714[[#Totals],[JUNIO]])</f>
        <v>0</v>
      </c>
    </row>
    <row r="18" spans="1:14">
      <c r="A18" s="19" t="s">
        <v>30</v>
      </c>
      <c r="B18" s="20" t="s">
        <v>36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7"/>
    </row>
    <row r="19" spans="1:14">
      <c r="A19" s="21" t="s">
        <v>31</v>
      </c>
      <c r="B19" s="22" t="s">
        <v>35</v>
      </c>
      <c r="C19" s="57">
        <v>500000</v>
      </c>
      <c r="D19" s="24"/>
      <c r="E19" s="24"/>
      <c r="F19" s="24"/>
      <c r="G19" s="24"/>
      <c r="H19" s="24"/>
      <c r="I19" s="24">
        <v>500000</v>
      </c>
      <c r="J19" s="24"/>
      <c r="K19" s="24"/>
      <c r="L19" s="24"/>
      <c r="M19" s="24"/>
      <c r="N19" s="28"/>
    </row>
    <row r="20" spans="1:14">
      <c r="A20" s="84" t="s">
        <v>21</v>
      </c>
      <c r="B20" s="22"/>
      <c r="C20" s="25">
        <f>SUBTOTAL(109,[JULIO])</f>
        <v>500000</v>
      </c>
      <c r="D20" s="25">
        <f>SUBTOTAL(109,[AGOSTO])</f>
        <v>0</v>
      </c>
      <c r="E20" s="25">
        <f>SUBTOTAL(109,[SEPTIEMBRE])</f>
        <v>0</v>
      </c>
      <c r="F20" s="25">
        <f>SUBTOTAL(109,[OCTUBRE])</f>
        <v>0</v>
      </c>
      <c r="G20" s="25">
        <f>SUBTOTAL(109,[NOVIEMBRE])</f>
        <v>0</v>
      </c>
      <c r="H20" s="25">
        <f>SUBTOTAL(109,[DICIEMBRE])</f>
        <v>0</v>
      </c>
      <c r="I20" s="25">
        <f>SUBTOTAL(109,[ENERO])</f>
        <v>500000</v>
      </c>
      <c r="J20" s="25">
        <f>SUBTOTAL(109,[FEBRERO])</f>
        <v>0</v>
      </c>
      <c r="K20" s="25">
        <f>SUBTOTAL(109,[MARZO])</f>
        <v>0</v>
      </c>
      <c r="L20" s="25">
        <f>SUBTOTAL(109,[ABRIL])</f>
        <v>0</v>
      </c>
      <c r="M20" s="25">
        <f>SUBTOTAL(109,[MAYO])</f>
        <v>0</v>
      </c>
      <c r="N20" s="25">
        <f>SUBTOTAL(109,[JUNIO])</f>
        <v>0</v>
      </c>
    </row>
  </sheetData>
  <mergeCells count="3">
    <mergeCell ref="A1:N1"/>
    <mergeCell ref="A6:N6"/>
    <mergeCell ref="A11:N11"/>
  </mergeCells>
  <phoneticPr fontId="4" type="noConversion"/>
  <pageMargins left="0.7" right="0.7" top="0.75" bottom="0.75" header="0.3" footer="0.3"/>
  <pageSetup orientation="portrait" horizontalDpi="360" verticalDpi="360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3">
    <tabColor theme="3"/>
  </sheetPr>
  <dimension ref="A1:M12"/>
  <sheetViews>
    <sheetView zoomScale="115" zoomScaleNormal="11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RowHeight="14.4"/>
  <cols>
    <col min="1" max="1" width="26.33203125" bestFit="1" customWidth="1"/>
    <col min="2" max="3" width="14.44140625" bestFit="1" customWidth="1"/>
    <col min="4" max="4" width="16.44140625" customWidth="1"/>
    <col min="5" max="5" width="14.44140625" bestFit="1" customWidth="1"/>
    <col min="6" max="6" width="16.5546875" bestFit="1" customWidth="1"/>
    <col min="7" max="7" width="15.44140625" bestFit="1" customWidth="1"/>
    <col min="8" max="13" width="14.44140625" bestFit="1" customWidth="1"/>
    <col min="14" max="14" width="3.44140625" customWidth="1"/>
  </cols>
  <sheetData>
    <row r="1" spans="1:13">
      <c r="A1" s="30" t="s">
        <v>23</v>
      </c>
      <c r="B1" s="7" t="s">
        <v>11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8" t="s">
        <v>6</v>
      </c>
      <c r="J1" s="7" t="s">
        <v>7</v>
      </c>
      <c r="K1" s="7" t="s">
        <v>8</v>
      </c>
      <c r="L1" s="7" t="s">
        <v>9</v>
      </c>
      <c r="M1" s="7" t="s">
        <v>10</v>
      </c>
    </row>
    <row r="2" spans="1:13">
      <c r="A2" s="60" t="s">
        <v>92</v>
      </c>
      <c r="B2" s="62">
        <v>20499.599999999999</v>
      </c>
      <c r="C2" s="62">
        <v>20499.599999999999</v>
      </c>
      <c r="D2" s="62">
        <v>20499.599999999999</v>
      </c>
      <c r="E2" s="62">
        <v>20499.599999999999</v>
      </c>
      <c r="F2" s="62">
        <v>20499.599999999999</v>
      </c>
      <c r="G2" s="62">
        <v>20499.599999999999</v>
      </c>
      <c r="H2" s="62">
        <v>20499.599999999999</v>
      </c>
      <c r="I2" s="62">
        <v>20499.599999999999</v>
      </c>
      <c r="J2" s="62">
        <v>20499.599999999999</v>
      </c>
      <c r="K2" s="62">
        <v>20499.599999999999</v>
      </c>
      <c r="L2" s="62">
        <v>20499.599999999999</v>
      </c>
      <c r="M2" s="62">
        <v>20499.599999999999</v>
      </c>
    </row>
    <row r="3" spans="1:13">
      <c r="A3" s="38" t="s">
        <v>64</v>
      </c>
      <c r="B3" s="70">
        <v>4399</v>
      </c>
      <c r="C3" s="70">
        <v>4399</v>
      </c>
      <c r="D3" s="70">
        <v>4399</v>
      </c>
      <c r="E3" s="70">
        <v>4399</v>
      </c>
      <c r="F3" s="70">
        <v>4399</v>
      </c>
      <c r="G3" s="70">
        <v>43399</v>
      </c>
      <c r="H3" s="70">
        <v>4399</v>
      </c>
      <c r="I3" s="70">
        <v>4399</v>
      </c>
      <c r="J3" s="70">
        <v>4399</v>
      </c>
      <c r="K3" s="70">
        <v>4399</v>
      </c>
      <c r="L3" s="70">
        <v>4399</v>
      </c>
      <c r="M3" s="70">
        <v>4399</v>
      </c>
    </row>
    <row r="4" spans="1:13">
      <c r="A4" s="99" t="s">
        <v>89</v>
      </c>
      <c r="B4" s="62">
        <v>41118.629999999997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13">
      <c r="A5" s="99" t="s">
        <v>94</v>
      </c>
      <c r="B5" s="62">
        <v>63340.3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1"/>
    </row>
    <row r="6" spans="1:13">
      <c r="A6" s="99" t="s">
        <v>93</v>
      </c>
      <c r="B6" s="62">
        <v>100000</v>
      </c>
      <c r="C6" s="62">
        <v>100000</v>
      </c>
      <c r="D6" s="62">
        <v>100000</v>
      </c>
      <c r="E6" s="62"/>
      <c r="F6" s="62"/>
      <c r="G6" s="62"/>
      <c r="H6" s="62"/>
      <c r="I6" s="62"/>
      <c r="J6" s="62"/>
      <c r="K6" s="62"/>
      <c r="L6" s="62"/>
      <c r="M6" s="61"/>
    </row>
    <row r="7" spans="1:13">
      <c r="A7" s="37" t="s">
        <v>70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>
        <v>1319.7</v>
      </c>
    </row>
    <row r="8" spans="1:13">
      <c r="A8" s="37" t="s">
        <v>59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>
        <v>923.79</v>
      </c>
    </row>
    <row r="9" spans="1:13">
      <c r="A9" s="90" t="s">
        <v>81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</row>
    <row r="10" spans="1:13">
      <c r="A10" s="90" t="s">
        <v>80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</row>
    <row r="11" spans="1:13">
      <c r="A11" s="90" t="s">
        <v>79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>
      <c r="A12" t="s">
        <v>21</v>
      </c>
      <c r="B12" s="5">
        <f>SUBTOTAL(109,[JULIO])</f>
        <v>229357.53</v>
      </c>
      <c r="C12" s="5">
        <f>SUBTOTAL(109,[AGOSTO])</f>
        <v>124898.6</v>
      </c>
      <c r="D12" s="5">
        <f>SUBTOTAL(109,[SEPTIEMBRE])</f>
        <v>124898.6</v>
      </c>
      <c r="E12" s="5">
        <f>SUBTOTAL(109,[OCTUBRE])</f>
        <v>24898.6</v>
      </c>
      <c r="F12" s="5">
        <f>SUBTOTAL(109,[NOVIEMBRE])</f>
        <v>24898.6</v>
      </c>
      <c r="G12" s="5">
        <f>SUBTOTAL(109,[DICIEMBRE])</f>
        <v>63898.6</v>
      </c>
      <c r="H12" s="5">
        <f>SUBTOTAL(109,[ENERO])</f>
        <v>24898.6</v>
      </c>
      <c r="I12" s="5">
        <f>SUBTOTAL(109,[FEBRERO])</f>
        <v>24898.6</v>
      </c>
      <c r="J12" s="5">
        <f>SUBTOTAL(109,[MARZO])</f>
        <v>24898.6</v>
      </c>
      <c r="K12" s="5">
        <f>SUBTOTAL(109,[ABRIL])</f>
        <v>24898.6</v>
      </c>
      <c r="L12" s="5">
        <f>SUBTOTAL(109,[MAYO])</f>
        <v>24898.6</v>
      </c>
      <c r="M12" s="5">
        <f>SUBTOTAL(109,[JUNIO])</f>
        <v>27142.09</v>
      </c>
    </row>
  </sheetData>
  <phoneticPr fontId="4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6">
    <tabColor theme="3" tint="-0.249977111117893"/>
  </sheetPr>
  <dimension ref="A1:N33"/>
  <sheetViews>
    <sheetView zoomScale="115" zoomScaleNormal="115" workbookViewId="0">
      <pane xSplit="1" ySplit="1" topLeftCell="E2" activePane="bottomRight" state="frozen"/>
      <selection pane="topRight"/>
      <selection pane="bottomLeft"/>
      <selection pane="bottomRight" activeCell="B2" sqref="B2:M6"/>
    </sheetView>
  </sheetViews>
  <sheetFormatPr baseColWidth="10" defaultRowHeight="14.4"/>
  <cols>
    <col min="1" max="1" width="25" bestFit="1" customWidth="1"/>
    <col min="2" max="2" width="15.6640625" bestFit="1" customWidth="1"/>
    <col min="3" max="3" width="14.44140625" bestFit="1" customWidth="1"/>
    <col min="4" max="13" width="16.6640625" bestFit="1" customWidth="1"/>
    <col min="14" max="14" width="3.44140625" customWidth="1"/>
  </cols>
  <sheetData>
    <row r="1" spans="1:14">
      <c r="A1" s="11" t="s">
        <v>20</v>
      </c>
      <c r="B1" s="9" t="s">
        <v>11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10" t="s">
        <v>6</v>
      </c>
      <c r="J1" s="7" t="s">
        <v>7</v>
      </c>
      <c r="K1" s="7" t="s">
        <v>8</v>
      </c>
      <c r="L1" s="7" t="s">
        <v>9</v>
      </c>
      <c r="M1" s="7" t="s">
        <v>10</v>
      </c>
    </row>
    <row r="2" spans="1:14">
      <c r="A2" s="59" t="s">
        <v>95</v>
      </c>
      <c r="B2" s="69">
        <v>424801.56</v>
      </c>
      <c r="C2" s="69">
        <v>424801.56</v>
      </c>
      <c r="D2" s="69">
        <v>424801.56</v>
      </c>
      <c r="E2" s="69">
        <v>424801.56</v>
      </c>
      <c r="F2" s="69">
        <v>424801.56</v>
      </c>
      <c r="G2" s="69">
        <v>424801.56</v>
      </c>
      <c r="H2" s="69">
        <v>424801.56</v>
      </c>
      <c r="I2" s="69">
        <v>424801.56</v>
      </c>
      <c r="J2" s="69">
        <v>424801.56</v>
      </c>
      <c r="K2" s="69">
        <v>424801.56</v>
      </c>
      <c r="L2" s="69">
        <v>424801.56</v>
      </c>
      <c r="M2" s="69">
        <v>424801.56</v>
      </c>
    </row>
    <row r="3" spans="1:14">
      <c r="A3" s="59" t="s">
        <v>96</v>
      </c>
      <c r="B3" s="69">
        <v>82281.95</v>
      </c>
      <c r="C3" s="69">
        <v>82281.95</v>
      </c>
      <c r="D3" s="69">
        <v>82281.95</v>
      </c>
      <c r="E3" s="69">
        <v>82281.95</v>
      </c>
      <c r="F3" s="69">
        <v>82281.95</v>
      </c>
      <c r="G3" s="69">
        <v>82281.95</v>
      </c>
      <c r="H3" s="69">
        <v>82281.95</v>
      </c>
      <c r="I3" s="69">
        <v>82281.95</v>
      </c>
      <c r="J3" s="69">
        <v>82281.95</v>
      </c>
      <c r="K3" s="69">
        <v>82281.95</v>
      </c>
      <c r="L3" s="69">
        <v>82281.95</v>
      </c>
      <c r="M3" s="69">
        <v>82281.95</v>
      </c>
      <c r="N3" s="69"/>
    </row>
    <row r="4" spans="1:14">
      <c r="A4" t="s">
        <v>97</v>
      </c>
      <c r="B4" s="5">
        <v>215136.66</v>
      </c>
      <c r="C4" s="5">
        <v>215136.66</v>
      </c>
      <c r="D4" s="5">
        <v>215136.66</v>
      </c>
      <c r="E4" s="5">
        <v>215136.66</v>
      </c>
      <c r="F4" s="5">
        <v>215136.66</v>
      </c>
      <c r="G4" s="5">
        <v>215136.66</v>
      </c>
      <c r="H4" s="5">
        <v>215136.66</v>
      </c>
      <c r="I4" s="5">
        <v>215136.66</v>
      </c>
      <c r="J4" s="5">
        <v>215136.66</v>
      </c>
      <c r="K4" s="5">
        <v>215136.66</v>
      </c>
      <c r="L4" s="5">
        <v>215136.66</v>
      </c>
      <c r="M4" s="5">
        <v>215136.66</v>
      </c>
    </row>
    <row r="5" spans="1:14">
      <c r="A5" t="s">
        <v>98</v>
      </c>
      <c r="B5" s="68">
        <v>269994.95</v>
      </c>
      <c r="C5" s="68">
        <v>269994.95</v>
      </c>
      <c r="D5" s="68">
        <v>269994.95</v>
      </c>
      <c r="E5" s="68">
        <v>269994.95</v>
      </c>
      <c r="F5" s="68">
        <v>269994.95</v>
      </c>
      <c r="G5" s="68">
        <v>269994.95</v>
      </c>
      <c r="H5" s="68">
        <v>269994.95</v>
      </c>
      <c r="I5" s="68">
        <v>269994.95</v>
      </c>
      <c r="J5" s="68">
        <v>269994.95</v>
      </c>
      <c r="K5" s="68">
        <v>269994.95</v>
      </c>
      <c r="L5" s="68">
        <v>269994.95</v>
      </c>
      <c r="M5" s="68">
        <v>269994.95</v>
      </c>
    </row>
    <row r="6" spans="1:14">
      <c r="A6" t="s">
        <v>99</v>
      </c>
      <c r="B6" s="68">
        <v>102696.72</v>
      </c>
      <c r="C6" s="68">
        <v>102696.72</v>
      </c>
      <c r="D6" s="68">
        <v>102696.72</v>
      </c>
      <c r="E6" s="68">
        <v>102696.72</v>
      </c>
      <c r="F6" s="68">
        <v>102696.72</v>
      </c>
      <c r="G6" s="68">
        <v>102696.72</v>
      </c>
      <c r="H6" s="68">
        <v>102696.72</v>
      </c>
      <c r="I6" s="68">
        <v>102696.72</v>
      </c>
      <c r="J6" s="68">
        <v>102696.72</v>
      </c>
      <c r="K6" s="68">
        <v>102696.72</v>
      </c>
      <c r="L6" s="68">
        <v>102696.72</v>
      </c>
      <c r="M6" s="68">
        <v>102696.72</v>
      </c>
    </row>
    <row r="7" spans="1:14">
      <c r="A7" t="s">
        <v>21</v>
      </c>
      <c r="B7" s="5">
        <f>SUBTOTAL(109,[JULIO])</f>
        <v>1094911.8400000001</v>
      </c>
      <c r="C7" s="5">
        <f>SUBTOTAL(109,[AGOSTO])</f>
        <v>1094911.8400000001</v>
      </c>
      <c r="D7" s="5">
        <f>SUBTOTAL(109,[SEPTIEMBRE])</f>
        <v>1094911.8400000001</v>
      </c>
      <c r="E7" s="5">
        <f>SUBTOTAL(109,[OCTUBRE])</f>
        <v>1094911.8400000001</v>
      </c>
      <c r="F7" s="5">
        <f>SUBTOTAL(109,[NOVIEMBRE])</f>
        <v>1094911.8400000001</v>
      </c>
      <c r="G7" s="5">
        <f>SUBTOTAL(109,[DICIEMBRE])</f>
        <v>1094911.8400000001</v>
      </c>
      <c r="H7" s="5">
        <f>SUBTOTAL(109,[ENERO])</f>
        <v>1094911.8400000001</v>
      </c>
      <c r="I7" s="5">
        <f>SUBTOTAL(109,[FEBRERO])</f>
        <v>1094911.8400000001</v>
      </c>
      <c r="J7" s="5">
        <f>SUBTOTAL(109,[MARZO])</f>
        <v>1094911.8400000001</v>
      </c>
      <c r="K7" s="5">
        <f>SUBTOTAL(109,[ABRIL])</f>
        <v>1094911.8400000001</v>
      </c>
      <c r="L7" s="5">
        <f>SUBTOTAL(109,[MAYO])</f>
        <v>1094911.8400000001</v>
      </c>
      <c r="M7" s="5">
        <f>SUBTOTAL(109,[JUNIO])</f>
        <v>1094911.8400000001</v>
      </c>
    </row>
    <row r="9" spans="1:14">
      <c r="F9" s="5"/>
    </row>
    <row r="10" spans="1:14">
      <c r="A10" s="93" t="s">
        <v>85</v>
      </c>
      <c r="B10" s="93"/>
      <c r="C10" s="94"/>
      <c r="D10" s="94">
        <v>121407.56</v>
      </c>
      <c r="E10" s="94">
        <v>125757.99</v>
      </c>
      <c r="F10" s="94">
        <v>121407.56</v>
      </c>
      <c r="G10" s="94">
        <v>121407.56</v>
      </c>
      <c r="H10" s="94">
        <v>121407.56</v>
      </c>
      <c r="I10" s="94">
        <v>121407.56</v>
      </c>
      <c r="J10" s="94">
        <v>121407.56</v>
      </c>
      <c r="K10" s="94">
        <v>155336.99</v>
      </c>
      <c r="L10" s="94">
        <v>121407.56</v>
      </c>
      <c r="M10" s="94">
        <v>121407.56</v>
      </c>
    </row>
    <row r="11" spans="1:14">
      <c r="A11" s="95">
        <v>7250000</v>
      </c>
      <c r="B11" s="93"/>
      <c r="C11" s="94">
        <v>546870.17000000004</v>
      </c>
      <c r="D11" s="94">
        <f>D10+C11</f>
        <v>668277.73</v>
      </c>
      <c r="E11" s="94">
        <f t="shared" ref="E11:M11" si="0">E10+D11</f>
        <v>794035.72</v>
      </c>
      <c r="F11" s="94">
        <f t="shared" si="0"/>
        <v>915443.28</v>
      </c>
      <c r="G11" s="94">
        <f t="shared" si="0"/>
        <v>1036850.8400000001</v>
      </c>
      <c r="H11" s="94">
        <f t="shared" si="0"/>
        <v>1158258.4000000001</v>
      </c>
      <c r="I11" s="94">
        <f t="shared" si="0"/>
        <v>1279665.9600000002</v>
      </c>
      <c r="J11" s="94">
        <f t="shared" si="0"/>
        <v>1401073.5200000003</v>
      </c>
      <c r="K11" s="94">
        <f t="shared" si="0"/>
        <v>1556410.5100000002</v>
      </c>
      <c r="L11" s="94">
        <f t="shared" si="0"/>
        <v>1677818.0700000003</v>
      </c>
      <c r="M11" s="94">
        <f t="shared" si="0"/>
        <v>1799225.6300000004</v>
      </c>
    </row>
    <row r="12" spans="1:14">
      <c r="A12" s="93"/>
      <c r="B12" s="93"/>
      <c r="C12" s="93"/>
      <c r="D12" s="96">
        <f>$A$11-D11</f>
        <v>6581722.2699999996</v>
      </c>
      <c r="E12" s="96">
        <f>$A$11-E11</f>
        <v>6455964.2800000003</v>
      </c>
      <c r="F12" s="96">
        <f t="shared" ref="F12:M12" si="1">$A$11-F11</f>
        <v>6334556.7199999997</v>
      </c>
      <c r="G12" s="96">
        <f t="shared" si="1"/>
        <v>6213149.1600000001</v>
      </c>
      <c r="H12" s="96">
        <f t="shared" si="1"/>
        <v>6091741.5999999996</v>
      </c>
      <c r="I12" s="96">
        <f t="shared" si="1"/>
        <v>5970334.04</v>
      </c>
      <c r="J12" s="96">
        <f t="shared" si="1"/>
        <v>5848926.4799999995</v>
      </c>
      <c r="K12" s="96">
        <f t="shared" si="1"/>
        <v>5693589.4900000002</v>
      </c>
      <c r="L12" s="96">
        <f t="shared" si="1"/>
        <v>5572181.9299999997</v>
      </c>
      <c r="M12" s="96">
        <f t="shared" si="1"/>
        <v>5450774.3699999992</v>
      </c>
    </row>
    <row r="13" spans="1:14">
      <c r="A13" t="s">
        <v>84</v>
      </c>
      <c r="D13" s="92">
        <v>22633.19</v>
      </c>
      <c r="E13" s="92">
        <v>22633.19</v>
      </c>
      <c r="F13" s="92">
        <v>22633.19</v>
      </c>
      <c r="G13" s="92">
        <v>22633.19</v>
      </c>
      <c r="H13" s="92">
        <v>22633.19</v>
      </c>
      <c r="I13" s="92">
        <v>22633.19</v>
      </c>
      <c r="J13" s="92">
        <v>22633.19</v>
      </c>
      <c r="K13" s="92">
        <v>22633.19</v>
      </c>
      <c r="L13" s="92">
        <v>22633.19</v>
      </c>
      <c r="M13" s="92">
        <v>22633.19</v>
      </c>
    </row>
    <row r="14" spans="1:14">
      <c r="A14" s="91">
        <v>1400000</v>
      </c>
      <c r="C14" s="92">
        <v>82969.33</v>
      </c>
      <c r="D14" s="92">
        <f>D13+C14</f>
        <v>105602.52</v>
      </c>
      <c r="E14" s="92">
        <f t="shared" ref="E14:M14" si="2">E13+D14</f>
        <v>128235.71</v>
      </c>
      <c r="F14" s="92">
        <f t="shared" si="2"/>
        <v>150868.9</v>
      </c>
      <c r="G14" s="92">
        <f t="shared" si="2"/>
        <v>173502.09</v>
      </c>
      <c r="H14" s="92">
        <f t="shared" si="2"/>
        <v>196135.28</v>
      </c>
      <c r="I14" s="92">
        <f t="shared" si="2"/>
        <v>218768.47</v>
      </c>
      <c r="J14" s="92">
        <f t="shared" si="2"/>
        <v>241401.66</v>
      </c>
      <c r="K14" s="92">
        <f t="shared" si="2"/>
        <v>264034.84999999998</v>
      </c>
      <c r="L14" s="92">
        <f t="shared" si="2"/>
        <v>286668.03999999998</v>
      </c>
      <c r="M14" s="92">
        <f t="shared" si="2"/>
        <v>309301.23</v>
      </c>
    </row>
    <row r="15" spans="1:14">
      <c r="D15" s="97">
        <f>$A$14-D14</f>
        <v>1294397.48</v>
      </c>
      <c r="E15" s="97">
        <f>$A$14-E14</f>
        <v>1271764.29</v>
      </c>
      <c r="F15" s="97">
        <f t="shared" ref="F15:M15" si="3">$A$14-F14</f>
        <v>1249131.1000000001</v>
      </c>
      <c r="G15" s="97">
        <f t="shared" si="3"/>
        <v>1226497.9099999999</v>
      </c>
      <c r="H15" s="97">
        <f t="shared" si="3"/>
        <v>1203864.72</v>
      </c>
      <c r="I15" s="97">
        <f t="shared" si="3"/>
        <v>1181231.53</v>
      </c>
      <c r="J15" s="97">
        <f t="shared" si="3"/>
        <v>1158598.3400000001</v>
      </c>
      <c r="K15" s="97">
        <f t="shared" si="3"/>
        <v>1135965.1499999999</v>
      </c>
      <c r="L15" s="97">
        <f t="shared" si="3"/>
        <v>1113331.96</v>
      </c>
      <c r="M15" s="97">
        <f t="shared" si="3"/>
        <v>1090698.77</v>
      </c>
    </row>
    <row r="16" spans="1:14">
      <c r="A16" s="93" t="s">
        <v>83</v>
      </c>
      <c r="B16" s="93"/>
      <c r="C16" s="94"/>
      <c r="D16" s="94">
        <v>45734.8</v>
      </c>
      <c r="E16" s="94">
        <v>45735.8</v>
      </c>
      <c r="F16" s="94">
        <v>45736.800000000003</v>
      </c>
      <c r="G16" s="94">
        <v>45737.8</v>
      </c>
      <c r="H16" s="94">
        <v>45738.8</v>
      </c>
      <c r="I16" s="94">
        <v>45739.8</v>
      </c>
      <c r="J16" s="94">
        <v>45740.800000000003</v>
      </c>
      <c r="K16" s="94">
        <v>45741.8</v>
      </c>
      <c r="L16" s="94">
        <v>45742.8</v>
      </c>
      <c r="M16" s="94">
        <v>45743.8</v>
      </c>
    </row>
    <row r="17" spans="1:13">
      <c r="A17" s="95">
        <v>3300000</v>
      </c>
      <c r="B17" s="93"/>
      <c r="C17" s="94">
        <v>126318.39999999999</v>
      </c>
      <c r="D17" s="94">
        <f>D16+C17</f>
        <v>172053.2</v>
      </c>
      <c r="E17" s="94">
        <f t="shared" ref="E17:M17" si="4">E16+D17</f>
        <v>217789</v>
      </c>
      <c r="F17" s="94">
        <f t="shared" si="4"/>
        <v>263525.8</v>
      </c>
      <c r="G17" s="94">
        <f t="shared" si="4"/>
        <v>309263.59999999998</v>
      </c>
      <c r="H17" s="94">
        <f t="shared" si="4"/>
        <v>355002.39999999997</v>
      </c>
      <c r="I17" s="94">
        <f t="shared" si="4"/>
        <v>400742.19999999995</v>
      </c>
      <c r="J17" s="94">
        <f t="shared" si="4"/>
        <v>446482.99999999994</v>
      </c>
      <c r="K17" s="94">
        <f t="shared" si="4"/>
        <v>492224.79999999993</v>
      </c>
      <c r="L17" s="94">
        <f t="shared" si="4"/>
        <v>537967.6</v>
      </c>
      <c r="M17" s="94">
        <f t="shared" si="4"/>
        <v>583711.4</v>
      </c>
    </row>
    <row r="18" spans="1:13">
      <c r="A18" s="93"/>
      <c r="B18" s="93"/>
      <c r="C18" s="93"/>
      <c r="D18" s="96">
        <f>$A$17-D17</f>
        <v>3127946.8</v>
      </c>
      <c r="E18" s="96">
        <f t="shared" ref="E18:M18" si="5">$A$17-E17</f>
        <v>3082211</v>
      </c>
      <c r="F18" s="96">
        <f t="shared" si="5"/>
        <v>3036474.2</v>
      </c>
      <c r="G18" s="96">
        <f t="shared" si="5"/>
        <v>2990736.4</v>
      </c>
      <c r="H18" s="96">
        <f t="shared" si="5"/>
        <v>2944997.6</v>
      </c>
      <c r="I18" s="96">
        <f t="shared" si="5"/>
        <v>2899257.8</v>
      </c>
      <c r="J18" s="96">
        <f t="shared" si="5"/>
        <v>2853517</v>
      </c>
      <c r="K18" s="96">
        <f t="shared" si="5"/>
        <v>2807775.2</v>
      </c>
      <c r="L18" s="96">
        <f t="shared" si="5"/>
        <v>2762032.4</v>
      </c>
      <c r="M18" s="96">
        <f t="shared" si="5"/>
        <v>2716288.6</v>
      </c>
    </row>
    <row r="19" spans="1:13" s="65" customFormat="1">
      <c r="A19" s="65" t="s">
        <v>86</v>
      </c>
      <c r="D19" s="98"/>
      <c r="E19" s="98"/>
      <c r="F19" s="98">
        <v>7237.46</v>
      </c>
      <c r="G19" s="98">
        <v>7237.46</v>
      </c>
      <c r="H19" s="98">
        <v>7237.46</v>
      </c>
      <c r="I19" s="98">
        <v>7237.46</v>
      </c>
      <c r="J19" s="98">
        <v>7237.46</v>
      </c>
      <c r="K19" s="98">
        <v>7237.46</v>
      </c>
      <c r="L19" s="98">
        <v>7237.46</v>
      </c>
      <c r="M19" s="98">
        <v>7237.46</v>
      </c>
    </row>
    <row r="20" spans="1:13" s="65" customFormat="1">
      <c r="A20" s="91">
        <v>3600000</v>
      </c>
      <c r="D20" s="98"/>
      <c r="E20" s="98"/>
      <c r="F20" s="98">
        <f>F19+E20</f>
        <v>7237.46</v>
      </c>
      <c r="G20" s="98">
        <f t="shared" ref="G20:M20" si="6">G19+F20</f>
        <v>14474.92</v>
      </c>
      <c r="H20" s="98">
        <f t="shared" si="6"/>
        <v>21712.38</v>
      </c>
      <c r="I20" s="98">
        <f t="shared" si="6"/>
        <v>28949.84</v>
      </c>
      <c r="J20" s="98">
        <f t="shared" si="6"/>
        <v>36187.300000000003</v>
      </c>
      <c r="K20" s="98">
        <f t="shared" si="6"/>
        <v>43424.76</v>
      </c>
      <c r="L20" s="98">
        <f t="shared" si="6"/>
        <v>50662.22</v>
      </c>
      <c r="M20" s="98">
        <f t="shared" si="6"/>
        <v>57899.68</v>
      </c>
    </row>
    <row r="21" spans="1:13" s="65" customFormat="1">
      <c r="D21" s="98"/>
      <c r="E21" s="98"/>
      <c r="F21" s="98">
        <f>$A$20-F20</f>
        <v>3592762.54</v>
      </c>
      <c r="G21" s="98">
        <f>$A$20-G20</f>
        <v>3585525.08</v>
      </c>
      <c r="H21" s="98">
        <f>$A$20-H20</f>
        <v>3578287.62</v>
      </c>
      <c r="I21" s="98">
        <f>$A$20-I20</f>
        <v>3571050.16</v>
      </c>
      <c r="J21" s="98">
        <f t="shared" ref="J21:M21" si="7">$A$20-J19</f>
        <v>3592762.54</v>
      </c>
      <c r="K21" s="98">
        <f t="shared" si="7"/>
        <v>3592762.54</v>
      </c>
      <c r="L21" s="98">
        <f t="shared" si="7"/>
        <v>3592762.54</v>
      </c>
      <c r="M21" s="98">
        <f t="shared" si="7"/>
        <v>3592762.54</v>
      </c>
    </row>
    <row r="23" spans="1:13">
      <c r="D23" s="5">
        <f>SUM(D18,D15,D12)</f>
        <v>11004066.549999999</v>
      </c>
      <c r="E23" s="5">
        <f t="shared" ref="E23:M23" si="8">SUM(E18,E15,E12)</f>
        <v>10809939.57</v>
      </c>
      <c r="F23" s="5">
        <f t="shared" si="8"/>
        <v>10620162.02</v>
      </c>
      <c r="G23" s="5">
        <f t="shared" si="8"/>
        <v>10430383.469999999</v>
      </c>
      <c r="H23" s="5">
        <f t="shared" si="8"/>
        <v>10240603.92</v>
      </c>
      <c r="I23" s="5">
        <f t="shared" si="8"/>
        <v>10050823.370000001</v>
      </c>
      <c r="J23" s="5">
        <f t="shared" si="8"/>
        <v>9861041.8200000003</v>
      </c>
      <c r="K23" s="5">
        <f t="shared" si="8"/>
        <v>9637329.8399999999</v>
      </c>
      <c r="L23" s="5">
        <f t="shared" si="8"/>
        <v>9447546.2899999991</v>
      </c>
      <c r="M23" s="5">
        <f t="shared" si="8"/>
        <v>9257761.7399999984</v>
      </c>
    </row>
    <row r="25" spans="1:13">
      <c r="F25" s="5">
        <f>SUM(F18,F15,F12,F21)</f>
        <v>14212924.559999999</v>
      </c>
      <c r="G25" s="5">
        <f t="shared" ref="G25:M25" si="9">SUM(G18,G15,G12,G21)</f>
        <v>14015908.549999999</v>
      </c>
      <c r="H25" s="5">
        <f t="shared" si="9"/>
        <v>13818891.539999999</v>
      </c>
      <c r="I25" s="5">
        <f t="shared" si="9"/>
        <v>13621873.530000001</v>
      </c>
      <c r="J25" s="5">
        <f t="shared" si="9"/>
        <v>13453804.359999999</v>
      </c>
      <c r="K25" s="5">
        <f t="shared" si="9"/>
        <v>13230092.379999999</v>
      </c>
      <c r="L25" s="5">
        <f t="shared" si="9"/>
        <v>13040308.829999998</v>
      </c>
      <c r="M25" s="5">
        <f t="shared" si="9"/>
        <v>12850524.279999997</v>
      </c>
    </row>
    <row r="30" spans="1:13">
      <c r="G30" s="5">
        <v>3592762.54</v>
      </c>
      <c r="I30" s="5">
        <v>580000</v>
      </c>
      <c r="K30" s="96">
        <v>2990736.4</v>
      </c>
      <c r="M30" s="96">
        <v>1022959.3599999999</v>
      </c>
    </row>
    <row r="31" spans="1:13">
      <c r="G31" s="5">
        <v>6213149.1600000001</v>
      </c>
      <c r="I31" s="5">
        <v>85000</v>
      </c>
      <c r="K31" s="96">
        <v>1226497.9099999999</v>
      </c>
      <c r="M31" s="96">
        <v>339732.49</v>
      </c>
    </row>
    <row r="32" spans="1:13">
      <c r="G32" s="5">
        <v>2500000</v>
      </c>
      <c r="I32">
        <v>223789.2</v>
      </c>
      <c r="M32" s="5">
        <f>SUM(M30:M31)</f>
        <v>1362691.8499999999</v>
      </c>
    </row>
    <row r="33" spans="7:9">
      <c r="G33" s="5">
        <f>SUM(G30:G32)</f>
        <v>12305911.699999999</v>
      </c>
      <c r="I33" s="5">
        <f>SUM(I30:I32)</f>
        <v>888789.2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Hoja2">
    <tabColor theme="9" tint="-0.249977111117893"/>
  </sheetPr>
  <dimension ref="A1:N52"/>
  <sheetViews>
    <sheetView zoomScale="106" zoomScaleNormal="106" workbookViewId="0">
      <pane xSplit="1" ySplit="3" topLeftCell="B4" activePane="bottomRight" state="frozen"/>
      <selection pane="topRight"/>
      <selection pane="bottomLeft"/>
      <selection pane="bottomRight" activeCell="A9" sqref="A9"/>
    </sheetView>
  </sheetViews>
  <sheetFormatPr baseColWidth="10" defaultRowHeight="14.4"/>
  <cols>
    <col min="1" max="1" width="42.6640625" bestFit="1" customWidth="1"/>
    <col min="2" max="2" width="18" bestFit="1" customWidth="1"/>
    <col min="3" max="3" width="17.109375" bestFit="1" customWidth="1"/>
    <col min="4" max="4" width="17.6640625" bestFit="1" customWidth="1"/>
    <col min="5" max="8" width="17.109375" bestFit="1" customWidth="1"/>
    <col min="9" max="9" width="19.109375" bestFit="1" customWidth="1"/>
    <col min="10" max="10" width="17.6640625" customWidth="1"/>
    <col min="11" max="13" width="17.109375" bestFit="1" customWidth="1"/>
  </cols>
  <sheetData>
    <row r="1" spans="1:14" ht="18">
      <c r="A1" s="108" t="s">
        <v>19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3" spans="1:14">
      <c r="A3" t="s">
        <v>22</v>
      </c>
      <c r="B3" s="56" t="s">
        <v>11</v>
      </c>
      <c r="C3" s="56" t="s">
        <v>0</v>
      </c>
      <c r="D3" s="56" t="s">
        <v>1</v>
      </c>
      <c r="E3" s="56" t="s">
        <v>2</v>
      </c>
      <c r="F3" s="56" t="s">
        <v>3</v>
      </c>
      <c r="G3" s="56" t="s">
        <v>4</v>
      </c>
      <c r="H3" s="56" t="s">
        <v>5</v>
      </c>
      <c r="I3" s="56" t="s">
        <v>6</v>
      </c>
      <c r="J3" s="56" t="s">
        <v>7</v>
      </c>
      <c r="K3" s="56" t="s">
        <v>8</v>
      </c>
      <c r="L3" s="56" t="s">
        <v>9</v>
      </c>
      <c r="M3" s="56" t="s">
        <v>10</v>
      </c>
    </row>
    <row r="4" spans="1:14" ht="15">
      <c r="A4" s="3" t="s">
        <v>55</v>
      </c>
      <c r="B4" s="77">
        <f>Tabla11[[#Totals],[JULIO]]</f>
        <v>0</v>
      </c>
      <c r="C4" s="77">
        <f>Tabla11[[#Totals],[AGOSTO]]</f>
        <v>0</v>
      </c>
      <c r="D4" s="77">
        <f>Tabla11[[#Totals],[SEPTIEMBRE]]</f>
        <v>0</v>
      </c>
      <c r="E4" s="77">
        <f>Tabla11[[#Totals],[OCTUBRE]]</f>
        <v>0</v>
      </c>
      <c r="F4" s="77">
        <f>Tabla11[[#Totals],[NOVIEMBRE]]</f>
        <v>0</v>
      </c>
      <c r="G4" s="77">
        <f>Tabla11[[#Totals],[DICIEMBRE]]</f>
        <v>0</v>
      </c>
      <c r="H4" s="77">
        <f>Tabla11[[#Totals],[ENERO]]</f>
        <v>0</v>
      </c>
      <c r="I4" s="77">
        <f>Tabla11[[#Totals],[FEBRERO]]</f>
        <v>0</v>
      </c>
      <c r="J4" s="77">
        <f>Tabla11[[#Totals],[MARZO]]</f>
        <v>0</v>
      </c>
      <c r="K4" s="77">
        <f>Tabla11[[#Totals],[ABRIL]]</f>
        <v>0</v>
      </c>
      <c r="L4" s="77">
        <f>Tabla11[[#Totals],[MAYO]]</f>
        <v>0</v>
      </c>
      <c r="M4" s="77">
        <f>Tabla11[[#Totals],[JUNIO]]</f>
        <v>0</v>
      </c>
    </row>
    <row r="5" spans="1:14" ht="15">
      <c r="A5" s="33" t="s">
        <v>57</v>
      </c>
      <c r="B5" s="77">
        <v>7000</v>
      </c>
      <c r="C5" s="77">
        <v>7000</v>
      </c>
      <c r="D5" s="77">
        <v>7000</v>
      </c>
      <c r="E5" s="77">
        <v>7000</v>
      </c>
      <c r="F5" s="77">
        <v>7000</v>
      </c>
      <c r="G5" s="77">
        <v>7000</v>
      </c>
      <c r="H5" s="77">
        <v>7000</v>
      </c>
      <c r="I5" s="77">
        <v>7000</v>
      </c>
      <c r="J5" s="77">
        <v>7000</v>
      </c>
      <c r="K5" s="77">
        <v>7000</v>
      </c>
      <c r="L5" s="77">
        <v>7000</v>
      </c>
      <c r="M5" s="77">
        <v>7000</v>
      </c>
      <c r="N5" s="4"/>
    </row>
    <row r="6" spans="1:14" ht="15">
      <c r="A6" s="33" t="s">
        <v>56</v>
      </c>
      <c r="B6" s="77">
        <v>120000</v>
      </c>
      <c r="C6" s="77">
        <v>120000</v>
      </c>
      <c r="D6" s="77">
        <v>120000</v>
      </c>
      <c r="E6" s="77">
        <v>120000</v>
      </c>
      <c r="F6" s="77">
        <v>120000</v>
      </c>
      <c r="G6" s="77">
        <v>120000</v>
      </c>
      <c r="H6" s="77">
        <v>120000</v>
      </c>
      <c r="I6" s="77">
        <v>120000</v>
      </c>
      <c r="J6" s="77">
        <v>120000</v>
      </c>
      <c r="K6" s="77">
        <v>120000</v>
      </c>
      <c r="L6" s="77">
        <v>120000</v>
      </c>
      <c r="M6" s="77">
        <v>120000</v>
      </c>
      <c r="N6" s="4"/>
    </row>
    <row r="7" spans="1:14" ht="15">
      <c r="A7" s="32" t="s">
        <v>61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</row>
    <row r="8" spans="1:14" ht="15">
      <c r="A8" s="32" t="s">
        <v>60</v>
      </c>
      <c r="B8" s="77"/>
      <c r="C8" s="68"/>
      <c r="D8" s="68"/>
      <c r="E8" s="77"/>
      <c r="F8" s="77"/>
      <c r="G8" s="77"/>
      <c r="H8" s="77"/>
      <c r="I8" s="77"/>
      <c r="J8" s="77"/>
      <c r="K8" s="77"/>
      <c r="L8" s="77"/>
      <c r="M8" s="77"/>
    </row>
    <row r="9" spans="1:14" ht="15">
      <c r="A9" s="32" t="s">
        <v>62</v>
      </c>
      <c r="B9" s="77"/>
      <c r="C9" s="77"/>
      <c r="D9" s="77"/>
      <c r="E9" s="77"/>
      <c r="F9" s="68"/>
      <c r="G9" s="77"/>
      <c r="H9" s="77"/>
      <c r="I9" s="77"/>
      <c r="J9" s="77"/>
      <c r="K9" s="77"/>
      <c r="L9" s="77"/>
      <c r="M9" s="77"/>
    </row>
    <row r="10" spans="1:14" ht="15">
      <c r="A10" s="32" t="s">
        <v>59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</row>
    <row r="11" spans="1:14" ht="15">
      <c r="A11" s="32" t="s">
        <v>63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</row>
    <row r="12" spans="1:14" ht="15">
      <c r="A12" s="32" t="s">
        <v>66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</row>
    <row r="13" spans="1:14" ht="15">
      <c r="A13" s="32" t="s">
        <v>71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</row>
    <row r="14" spans="1:14" ht="15">
      <c r="A14" s="3" t="s">
        <v>82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</row>
    <row r="15" spans="1:14" ht="15">
      <c r="A15" s="3" t="s">
        <v>76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</row>
    <row r="16" spans="1:14" ht="15">
      <c r="A16" s="3" t="s">
        <v>72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</row>
    <row r="17" spans="1:13" ht="15">
      <c r="A17" s="31" t="s">
        <v>69</v>
      </c>
      <c r="B17" s="77">
        <v>10495.86</v>
      </c>
      <c r="C17" s="77">
        <v>10495.86</v>
      </c>
      <c r="D17" s="77">
        <v>10495.86</v>
      </c>
      <c r="E17" s="77">
        <v>10495.86</v>
      </c>
      <c r="F17" s="77">
        <v>10495.86</v>
      </c>
      <c r="G17" s="77">
        <v>10495.86</v>
      </c>
      <c r="H17" s="77">
        <v>10495.86</v>
      </c>
      <c r="I17" s="77">
        <v>10495.86</v>
      </c>
      <c r="J17" s="77">
        <v>10495.86</v>
      </c>
      <c r="K17" s="77">
        <v>10495.86</v>
      </c>
      <c r="L17" s="77">
        <v>10495.86</v>
      </c>
      <c r="M17" s="77">
        <v>10495.86</v>
      </c>
    </row>
    <row r="18" spans="1:13" ht="15">
      <c r="A18" s="31" t="s">
        <v>68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</row>
    <row r="19" spans="1:13" ht="15">
      <c r="A19" s="31" t="s">
        <v>58</v>
      </c>
      <c r="B19" s="77">
        <v>6720</v>
      </c>
      <c r="C19" s="77">
        <v>6720</v>
      </c>
      <c r="D19" s="77">
        <v>6720</v>
      </c>
      <c r="E19" s="77">
        <v>6720</v>
      </c>
      <c r="F19" s="77">
        <v>6720</v>
      </c>
      <c r="G19" s="77">
        <v>6720</v>
      </c>
      <c r="H19" s="77">
        <v>6720</v>
      </c>
      <c r="I19" s="77">
        <v>6720</v>
      </c>
      <c r="J19" s="77">
        <v>6720</v>
      </c>
      <c r="K19" s="77">
        <v>6720</v>
      </c>
      <c r="L19" s="77">
        <v>6720</v>
      </c>
      <c r="M19" s="77">
        <v>6720</v>
      </c>
    </row>
    <row r="20" spans="1:13" ht="15.6">
      <c r="A20" s="26" t="s">
        <v>21</v>
      </c>
      <c r="B20" s="48">
        <f>SUBTOTAL(109,[JULIO])</f>
        <v>144215.85999999999</v>
      </c>
      <c r="C20" s="48">
        <f>SUBTOTAL(109,[AGOSTO])</f>
        <v>144215.85999999999</v>
      </c>
      <c r="D20" s="48">
        <f>SUBTOTAL(109,[SEPTIEMBRE])</f>
        <v>144215.85999999999</v>
      </c>
      <c r="E20" s="49">
        <f>SUBTOTAL(109,[OCTUBRE])</f>
        <v>144215.85999999999</v>
      </c>
      <c r="F20" s="49">
        <f>SUBTOTAL(109,[NOVIEMBRE])</f>
        <v>144215.85999999999</v>
      </c>
      <c r="G20" s="49">
        <f>SUBTOTAL(109,[DICIEMBRE])</f>
        <v>144215.85999999999</v>
      </c>
      <c r="H20" s="49">
        <f>SUBTOTAL(109,[ENERO])</f>
        <v>144215.85999999999</v>
      </c>
      <c r="I20" s="49">
        <f>SUBTOTAL(109,[FEBRERO])</f>
        <v>144215.85999999999</v>
      </c>
      <c r="J20" s="49">
        <f>SUBTOTAL(109,[MARZO])</f>
        <v>144215.85999999999</v>
      </c>
      <c r="K20" s="49">
        <f>SUBTOTAL(109,[ABRIL])</f>
        <v>144215.85999999999</v>
      </c>
      <c r="L20" s="49">
        <f>SUBTOTAL(109,[MAYO])</f>
        <v>144215.85999999999</v>
      </c>
      <c r="M20" s="49">
        <f>SUBTOTAL(109,[JUNIO])</f>
        <v>144215.85999999999</v>
      </c>
    </row>
    <row r="22" spans="1:13" ht="18">
      <c r="A22" s="51" t="s">
        <v>32</v>
      </c>
      <c r="B22" s="54" t="s">
        <v>11</v>
      </c>
      <c r="C22" s="54" t="s">
        <v>0</v>
      </c>
      <c r="D22" s="54" t="s">
        <v>1</v>
      </c>
      <c r="E22" s="54" t="s">
        <v>2</v>
      </c>
      <c r="F22" s="54" t="s">
        <v>3</v>
      </c>
      <c r="G22" s="54" t="s">
        <v>4</v>
      </c>
      <c r="H22" s="54" t="s">
        <v>5</v>
      </c>
      <c r="I22" s="54" t="s">
        <v>6</v>
      </c>
      <c r="J22" s="54" t="s">
        <v>7</v>
      </c>
      <c r="K22" s="54" t="s">
        <v>8</v>
      </c>
      <c r="L22" s="54" t="s">
        <v>9</v>
      </c>
      <c r="M22" s="55" t="s">
        <v>10</v>
      </c>
    </row>
    <row r="23" spans="1:13">
      <c r="A23" s="13" t="s">
        <v>65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</row>
    <row r="24" spans="1:13">
      <c r="A24" s="13" t="s">
        <v>65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</row>
    <row r="25" spans="1:13">
      <c r="A25" s="13" t="s">
        <v>65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</row>
    <row r="26" spans="1:13">
      <c r="A26" s="13" t="s">
        <v>65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</row>
    <row r="27" spans="1:13">
      <c r="A27" s="13" t="s">
        <v>65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</row>
    <row r="28" spans="1:13">
      <c r="A28" s="13" t="s">
        <v>65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</row>
    <row r="29" spans="1:13">
      <c r="A29" s="13" t="s">
        <v>65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</row>
    <row r="30" spans="1:13">
      <c r="A30" s="13" t="s">
        <v>65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</row>
    <row r="31" spans="1:13">
      <c r="A31" s="13" t="s">
        <v>65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</row>
    <row r="32" spans="1:13">
      <c r="A32" s="13" t="s">
        <v>65</v>
      </c>
      <c r="B32" s="73"/>
      <c r="C32" s="73"/>
      <c r="D32" s="72"/>
      <c r="E32" s="73"/>
      <c r="F32" s="73"/>
      <c r="G32" s="73"/>
      <c r="H32" s="73"/>
      <c r="I32" s="73"/>
      <c r="J32" s="73"/>
      <c r="K32" s="73"/>
      <c r="L32" s="73"/>
      <c r="M32" s="73"/>
    </row>
    <row r="33" spans="1:13">
      <c r="A33" s="13" t="s">
        <v>65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</row>
    <row r="34" spans="1:13">
      <c r="A34" s="13" t="s">
        <v>65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</row>
    <row r="35" spans="1:13">
      <c r="A35" s="14" t="s">
        <v>21</v>
      </c>
      <c r="B35" s="15">
        <f>SUBTOTAL(109,[JULIO])</f>
        <v>0</v>
      </c>
      <c r="C35" s="15">
        <f>SUBTOTAL(109,[AGOSTO])</f>
        <v>0</v>
      </c>
      <c r="D35" s="15">
        <f>SUBTOTAL(109,[SEPTIEMBRE])</f>
        <v>0</v>
      </c>
      <c r="E35" s="15">
        <f>SUBTOTAL(109,[OCTUBRE])</f>
        <v>0</v>
      </c>
      <c r="F35" s="15">
        <f>SUBTOTAL(109,[NOVIEMBRE])</f>
        <v>0</v>
      </c>
      <c r="G35" s="15">
        <f>SUBTOTAL(109,[DICIEMBRE])</f>
        <v>0</v>
      </c>
      <c r="H35" s="15">
        <f>SUBTOTAL(109,[ENERO])</f>
        <v>0</v>
      </c>
      <c r="I35" s="15">
        <f>SUBTOTAL(109,[FEBRERO])</f>
        <v>0</v>
      </c>
      <c r="J35" s="15">
        <f>SUBTOTAL(109,[MARZO])</f>
        <v>0</v>
      </c>
      <c r="K35" s="15">
        <f>SUBTOTAL(109,[ABRIL])</f>
        <v>0</v>
      </c>
      <c r="L35" s="15">
        <f>SUBTOTAL(109,[MAYO])</f>
        <v>0</v>
      </c>
      <c r="M35" s="15">
        <f>SUBTOTAL(109,[JUNIO])</f>
        <v>0</v>
      </c>
    </row>
    <row r="37" spans="1:13" ht="18">
      <c r="A37" s="53" t="s">
        <v>41</v>
      </c>
      <c r="B37" s="52" t="s">
        <v>11</v>
      </c>
      <c r="C37" s="52" t="s">
        <v>0</v>
      </c>
      <c r="D37" s="52" t="s">
        <v>1</v>
      </c>
      <c r="E37" s="52" t="s">
        <v>2</v>
      </c>
      <c r="F37" s="52" t="s">
        <v>3</v>
      </c>
      <c r="G37" s="52" t="s">
        <v>4</v>
      </c>
      <c r="H37" s="52" t="s">
        <v>5</v>
      </c>
      <c r="I37" s="52" t="s">
        <v>6</v>
      </c>
      <c r="J37" s="52" t="s">
        <v>7</v>
      </c>
      <c r="K37" s="52" t="s">
        <v>8</v>
      </c>
      <c r="L37" s="52" t="s">
        <v>9</v>
      </c>
      <c r="M37" s="52" t="s">
        <v>10</v>
      </c>
    </row>
    <row r="38" spans="1:13">
      <c r="A38" s="36" t="s">
        <v>90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</row>
    <row r="39" spans="1:13">
      <c r="A39" s="36" t="s">
        <v>87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</row>
    <row r="40" spans="1:13" s="50" customFormat="1" ht="15.6">
      <c r="A40" s="36" t="s">
        <v>88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106"/>
      <c r="M40" s="76"/>
    </row>
    <row r="41" spans="1:13">
      <c r="A41" s="36" t="s">
        <v>40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</row>
    <row r="42" spans="1:13" ht="15.6">
      <c r="A42" s="74" t="s">
        <v>21</v>
      </c>
      <c r="B42" s="75">
        <f>SUBTOTAL(109,[JULIO])</f>
        <v>0</v>
      </c>
      <c r="C42" s="75">
        <f>SUBTOTAL(109,[AGOSTO])</f>
        <v>0</v>
      </c>
      <c r="D42" s="75">
        <f>SUBTOTAL(109,[SEPTIEMBRE])</f>
        <v>0</v>
      </c>
      <c r="E42" s="75">
        <f>SUBTOTAL(109,[OCTUBRE])</f>
        <v>0</v>
      </c>
      <c r="F42" s="75">
        <f>SUBTOTAL(109,[NOVIEMBRE])</f>
        <v>0</v>
      </c>
      <c r="G42" s="75">
        <f>SUBTOTAL(109,[DICIEMBRE])</f>
        <v>0</v>
      </c>
      <c r="H42" s="75">
        <f>SUBTOTAL(109,[ENERO])</f>
        <v>0</v>
      </c>
      <c r="I42" s="75">
        <f>SUBTOTAL(109,[FEBRERO])</f>
        <v>0</v>
      </c>
      <c r="J42" s="75">
        <f>SUBTOTAL(109,[MARZO])</f>
        <v>0</v>
      </c>
      <c r="K42" s="75">
        <f>SUBTOTAL(109,[ABRIL])</f>
        <v>0</v>
      </c>
      <c r="L42" s="75">
        <f>SUBTOTAL(109,[MAYO])</f>
        <v>0</v>
      </c>
      <c r="M42" s="75">
        <f>SUBTOTAL(109,[JUNIO])</f>
        <v>0</v>
      </c>
    </row>
    <row r="52" spans="10:10">
      <c r="J52" s="4"/>
    </row>
  </sheetData>
  <mergeCells count="1">
    <mergeCell ref="A1:M1"/>
  </mergeCells>
  <phoneticPr fontId="4" type="noConversion"/>
  <pageMargins left="0.7" right="0.7" top="0.75" bottom="0.75" header="0.3" footer="0.3"/>
  <pageSetup paperSize="9" orientation="portrait" horizontalDpi="360" verticalDpi="360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Hoja5">
    <tabColor rgb="FF00B050"/>
  </sheetPr>
  <dimension ref="A1:M39"/>
  <sheetViews>
    <sheetView tabSelected="1" zoomScale="126" zoomScaleNormal="126" workbookViewId="0">
      <pane xSplit="1" ySplit="1" topLeftCell="B2" activePane="bottomRight" state="frozen"/>
      <selection pane="topRight"/>
      <selection pane="bottomLeft"/>
      <selection pane="bottomRight" activeCell="B6" sqref="B6"/>
    </sheetView>
  </sheetViews>
  <sheetFormatPr baseColWidth="10" defaultColWidth="11.5546875" defaultRowHeight="14.4"/>
  <cols>
    <col min="1" max="1" width="20.33203125" bestFit="1" customWidth="1"/>
    <col min="2" max="3" width="15.6640625" style="1" bestFit="1" customWidth="1"/>
    <col min="4" max="4" width="16.5546875" style="1" customWidth="1"/>
    <col min="5" max="5" width="15.6640625" style="1" bestFit="1" customWidth="1"/>
    <col min="6" max="6" width="16.5546875" style="1" bestFit="1" customWidth="1"/>
    <col min="7" max="8" width="15.6640625" style="1" bestFit="1" customWidth="1"/>
    <col min="9" max="9" width="15.88671875" style="1" customWidth="1"/>
    <col min="10" max="10" width="15.6640625" style="1" bestFit="1" customWidth="1"/>
    <col min="11" max="11" width="16" style="1" bestFit="1" customWidth="1"/>
    <col min="12" max="13" width="15.6640625" style="1" bestFit="1" customWidth="1"/>
    <col min="14" max="16384" width="11.5546875" style="1"/>
  </cols>
  <sheetData>
    <row r="1" spans="1:13" customFormat="1">
      <c r="A1" s="34" t="s">
        <v>14</v>
      </c>
      <c r="B1" s="34" t="s">
        <v>11</v>
      </c>
      <c r="C1" s="34" t="s">
        <v>0</v>
      </c>
      <c r="D1" s="34" t="s">
        <v>1</v>
      </c>
      <c r="E1" s="34" t="s">
        <v>2</v>
      </c>
      <c r="F1" s="34" t="s">
        <v>3</v>
      </c>
      <c r="G1" s="34" t="s">
        <v>4</v>
      </c>
      <c r="H1" s="34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5" t="s">
        <v>10</v>
      </c>
    </row>
    <row r="2" spans="1:13">
      <c r="A2" s="36" t="s">
        <v>18</v>
      </c>
      <c r="B2" s="87">
        <v>250000</v>
      </c>
      <c r="C2" s="87">
        <v>250000</v>
      </c>
      <c r="D2" s="87">
        <v>250000</v>
      </c>
      <c r="E2" s="87">
        <v>200000</v>
      </c>
      <c r="F2" s="87">
        <v>250000</v>
      </c>
      <c r="G2" s="87">
        <v>250000</v>
      </c>
      <c r="H2" s="87">
        <v>250000</v>
      </c>
      <c r="I2" s="87">
        <v>250000</v>
      </c>
      <c r="J2" s="87">
        <v>250000</v>
      </c>
      <c r="K2" s="87">
        <v>250000</v>
      </c>
      <c r="L2" s="87">
        <v>250000</v>
      </c>
      <c r="M2" s="87">
        <v>250000</v>
      </c>
    </row>
    <row r="3" spans="1:13">
      <c r="A3" s="36" t="s">
        <v>39</v>
      </c>
      <c r="B3" s="87">
        <v>14000</v>
      </c>
      <c r="C3" s="87">
        <v>14000</v>
      </c>
      <c r="D3" s="87">
        <v>14000</v>
      </c>
      <c r="E3" s="87">
        <v>14000</v>
      </c>
      <c r="F3" s="87">
        <v>14000</v>
      </c>
      <c r="G3" s="87">
        <v>14000</v>
      </c>
      <c r="H3" s="87">
        <v>14000</v>
      </c>
      <c r="I3" s="87">
        <v>14000</v>
      </c>
      <c r="J3" s="87">
        <v>14000</v>
      </c>
      <c r="K3" s="87">
        <v>14000</v>
      </c>
      <c r="L3" s="87">
        <v>14000</v>
      </c>
      <c r="M3" s="87">
        <v>14000</v>
      </c>
    </row>
    <row r="4" spans="1:13">
      <c r="A4" s="36" t="s">
        <v>20</v>
      </c>
      <c r="B4" s="87">
        <f>PRESNAC[[#Totals],[JULIO]]</f>
        <v>1094911.8400000001</v>
      </c>
      <c r="C4" s="87">
        <f>PRESNAC[[#Totals],[AGOSTO]]</f>
        <v>1094911.8400000001</v>
      </c>
      <c r="D4" s="87">
        <f>PRESNAC[[#Totals],[SEPTIEMBRE]]</f>
        <v>1094911.8400000001</v>
      </c>
      <c r="E4" s="87">
        <f>PRESNAC[[#Totals],[OCTUBRE]]</f>
        <v>1094911.8400000001</v>
      </c>
      <c r="F4" s="87">
        <f>PRESNAC[[#Totals],[NOVIEMBRE]]</f>
        <v>1094911.8400000001</v>
      </c>
      <c r="G4" s="87">
        <f>PRESNAC[[#Totals],[DICIEMBRE]]</f>
        <v>1094911.8400000001</v>
      </c>
      <c r="H4" s="87">
        <f>PRESNAC[[#Totals],[ENERO]]</f>
        <v>1094911.8400000001</v>
      </c>
      <c r="I4" s="87">
        <f>PRESNAC[[#Totals],[FEBRERO]]</f>
        <v>1094911.8400000001</v>
      </c>
      <c r="J4" s="87">
        <f>PRESNAC[[#Totals],[MARZO]]</f>
        <v>1094911.8400000001</v>
      </c>
      <c r="K4" s="87">
        <f>PRESNAC[[#Totals],[ABRIL]]</f>
        <v>1094911.8400000001</v>
      </c>
      <c r="L4" s="87">
        <f>PRESNAC[[#Totals],[MAYO]]</f>
        <v>1094911.8400000001</v>
      </c>
      <c r="M4" s="87">
        <f>PRESNAC[[#Totals],[JUNIO]]</f>
        <v>1094911.8400000001</v>
      </c>
    </row>
    <row r="5" spans="1:13">
      <c r="A5" s="85" t="s">
        <v>75</v>
      </c>
      <c r="B5" s="88">
        <v>300000</v>
      </c>
      <c r="C5" s="88">
        <v>300000</v>
      </c>
      <c r="D5" s="88">
        <v>300000</v>
      </c>
      <c r="E5" s="88">
        <v>300000</v>
      </c>
      <c r="F5" s="88">
        <v>300000</v>
      </c>
      <c r="G5" s="88">
        <v>300000</v>
      </c>
      <c r="H5" s="88">
        <v>300000</v>
      </c>
      <c r="I5" s="88">
        <v>300000</v>
      </c>
      <c r="J5" s="88">
        <v>300000</v>
      </c>
      <c r="K5" s="88">
        <v>300000</v>
      </c>
      <c r="L5" s="88">
        <f>ZETA3[[#Totals],[MAYO]]</f>
        <v>0</v>
      </c>
      <c r="M5" s="88">
        <f>ZETA3[[#Totals],[JUNIO]]</f>
        <v>0</v>
      </c>
    </row>
    <row r="6" spans="1:13">
      <c r="A6" s="36" t="s">
        <v>19</v>
      </c>
      <c r="B6" s="87">
        <f>NARANJA[[#Totals],[JULIO]]</f>
        <v>144215.85999999999</v>
      </c>
      <c r="C6" s="87">
        <f>NARANJA[[#Totals],[AGOSTO]]</f>
        <v>144215.85999999999</v>
      </c>
      <c r="D6" s="87">
        <f>NARANJA[[#Totals],[SEPTIEMBRE]]</f>
        <v>144215.85999999999</v>
      </c>
      <c r="E6" s="87">
        <f>NARANJA[[#Totals],[OCTUBRE]]</f>
        <v>144215.85999999999</v>
      </c>
      <c r="F6" s="87">
        <f>NARANJA[[#Totals],[NOVIEMBRE]]</f>
        <v>144215.85999999999</v>
      </c>
      <c r="G6" s="87">
        <f>NARANJA[[#Totals],[DICIEMBRE]]</f>
        <v>144215.85999999999</v>
      </c>
      <c r="H6" s="87">
        <f>NARANJA[[#Totals],[ENERO]]</f>
        <v>144215.85999999999</v>
      </c>
      <c r="I6" s="87">
        <f>NARANJA[[#Totals],[FEBRERO]]</f>
        <v>144215.85999999999</v>
      </c>
      <c r="J6" s="87">
        <f>NARANJA[[#Totals],[MARZO]]</f>
        <v>144215.85999999999</v>
      </c>
      <c r="K6" s="87">
        <f>NARANJA[[#Totals],[ABRIL]]</f>
        <v>144215.85999999999</v>
      </c>
      <c r="L6" s="87">
        <f>NARANJA[[#Totals],[MAYO]]</f>
        <v>144215.85999999999</v>
      </c>
      <c r="M6" s="87">
        <f>NARANJA[[#Totals],[JUNIO]]</f>
        <v>144215.85999999999</v>
      </c>
    </row>
    <row r="7" spans="1:13">
      <c r="A7" s="36" t="s">
        <v>24</v>
      </c>
      <c r="B7" s="87">
        <f>NATIVA[[#Totals],[JULIO]]</f>
        <v>229357.53</v>
      </c>
      <c r="C7" s="87">
        <f>NATIVA[[#Totals],[AGOSTO]]</f>
        <v>124898.6</v>
      </c>
      <c r="D7" s="87">
        <f>NATIVA[[#Totals],[SEPTIEMBRE]]</f>
        <v>124898.6</v>
      </c>
      <c r="E7" s="87">
        <f>NATIVA[[#Totals],[OCTUBRE]]</f>
        <v>24898.6</v>
      </c>
      <c r="F7" s="87">
        <f>NATIVA[[#Totals],[NOVIEMBRE]]</f>
        <v>24898.6</v>
      </c>
      <c r="G7" s="87">
        <v>202000</v>
      </c>
      <c r="H7" s="87">
        <f>NATIVA[[#Totals],[ENERO]]</f>
        <v>24898.6</v>
      </c>
      <c r="I7" s="87">
        <f>NATIVA[[#Totals],[FEBRERO]]</f>
        <v>24898.6</v>
      </c>
      <c r="J7" s="87">
        <f>NATIVA[[#Totals],[MARZO]]</f>
        <v>24898.6</v>
      </c>
      <c r="K7" s="87">
        <f>NATIVA[[#Totals],[ABRIL]]</f>
        <v>24898.6</v>
      </c>
      <c r="L7" s="87">
        <f>NATIVA[[#Totals],[MAYO]]</f>
        <v>24898.6</v>
      </c>
      <c r="M7" s="87">
        <f>NATIVA[[#Totals],[JUNIO]]</f>
        <v>27142.09</v>
      </c>
    </row>
    <row r="8" spans="1:13">
      <c r="A8" s="103" t="s">
        <v>100</v>
      </c>
      <c r="B8" s="104">
        <v>160000</v>
      </c>
      <c r="C8" s="104">
        <v>160000</v>
      </c>
      <c r="D8" s="104">
        <v>160000</v>
      </c>
      <c r="E8" s="104">
        <v>160000</v>
      </c>
      <c r="F8" s="104">
        <v>160000</v>
      </c>
      <c r="G8" s="104">
        <v>160000</v>
      </c>
      <c r="H8" s="105"/>
      <c r="I8" s="105"/>
      <c r="J8" s="105"/>
      <c r="K8" s="105"/>
      <c r="L8" s="105"/>
      <c r="M8" s="105"/>
    </row>
    <row r="9" spans="1:13">
      <c r="A9" s="103" t="s">
        <v>91</v>
      </c>
      <c r="B9" s="104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>
        <v>20499.599999999999</v>
      </c>
    </row>
    <row r="10" spans="1:13">
      <c r="A10" s="86" t="s">
        <v>77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9"/>
    </row>
    <row r="11" spans="1:13">
      <c r="A11" s="100"/>
      <c r="B11" s="101">
        <f>SUBTOTAL(109,[JULIO])</f>
        <v>2192485.2300000004</v>
      </c>
      <c r="C11" s="101">
        <f>SUBTOTAL(109,[AGOSTO])</f>
        <v>2088026.3000000003</v>
      </c>
      <c r="D11" s="101">
        <f>SUBTOTAL(109,[SEPTIEMBRE])</f>
        <v>2088026.3000000003</v>
      </c>
      <c r="E11" s="101">
        <f>SUBTOTAL(109,[OCTUBRE])</f>
        <v>1938026.3000000003</v>
      </c>
      <c r="F11" s="101">
        <f>SUBTOTAL(109,[NOVIEMBRE])</f>
        <v>1988026.3000000003</v>
      </c>
      <c r="G11" s="101">
        <f>SUBTOTAL(109,[DICIEMBRE])</f>
        <v>2165127.7000000002</v>
      </c>
      <c r="H11" s="101">
        <f>SUBTOTAL(109,[ENERO])</f>
        <v>1828026.3000000003</v>
      </c>
      <c r="I11" s="101">
        <f>SUBTOTAL(109,[FEBRERO])</f>
        <v>1828026.3000000003</v>
      </c>
      <c r="J11" s="101">
        <f>SUBTOTAL(109,[MARZO])</f>
        <v>1828026.3000000003</v>
      </c>
      <c r="K11" s="101">
        <f>SUBTOTAL(109,[ABRIL])</f>
        <v>1828026.3000000003</v>
      </c>
      <c r="L11" s="101">
        <f>SUBTOTAL(109,[MAYO])</f>
        <v>1528026.3000000003</v>
      </c>
      <c r="M11" s="102">
        <f>SUBTOTAL(109,[JUNIO])</f>
        <v>1550769.3900000004</v>
      </c>
    </row>
    <row r="12" spans="1:1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>
      <c r="A13" s="39" t="s">
        <v>27</v>
      </c>
      <c r="B13" s="40" t="s">
        <v>11</v>
      </c>
      <c r="C13" s="40" t="s">
        <v>0</v>
      </c>
      <c r="D13" s="40" t="s">
        <v>1</v>
      </c>
      <c r="E13" s="40" t="s">
        <v>2</v>
      </c>
      <c r="F13" s="40" t="s">
        <v>3</v>
      </c>
      <c r="G13" s="40" t="s">
        <v>4</v>
      </c>
      <c r="H13" s="40" t="s">
        <v>5</v>
      </c>
      <c r="I13" s="40" t="s">
        <v>6</v>
      </c>
      <c r="J13" s="40" t="s">
        <v>7</v>
      </c>
      <c r="K13" s="40" t="s">
        <v>8</v>
      </c>
      <c r="L13" s="40" t="s">
        <v>9</v>
      </c>
      <c r="M13" s="41" t="s">
        <v>10</v>
      </c>
    </row>
    <row r="14" spans="1:13">
      <c r="A14" s="42" t="s">
        <v>25</v>
      </c>
      <c r="B14" s="43">
        <v>2011480.07</v>
      </c>
      <c r="C14" s="43">
        <v>2011480.07</v>
      </c>
      <c r="D14" s="43">
        <v>2011480.07</v>
      </c>
      <c r="E14" s="43">
        <v>2011480.07</v>
      </c>
      <c r="F14" s="43">
        <v>2011480.07</v>
      </c>
      <c r="G14" s="43">
        <v>2011480.07</v>
      </c>
      <c r="H14" s="43">
        <v>2011480.07</v>
      </c>
      <c r="I14" s="43">
        <v>2011480.07</v>
      </c>
      <c r="J14" s="43">
        <v>2011480.07</v>
      </c>
      <c r="K14" s="43">
        <v>2011480.07</v>
      </c>
      <c r="L14" s="43">
        <v>2011480.07</v>
      </c>
      <c r="M14" s="43">
        <v>2011480.07</v>
      </c>
    </row>
    <row r="15" spans="1:13">
      <c r="A15" s="42" t="s">
        <v>26</v>
      </c>
      <c r="B15" s="43">
        <f>Tabla18[[#Totals],[JULIO]]</f>
        <v>500000</v>
      </c>
      <c r="C15" s="43">
        <f>Tabla18[[#Totals],[AGOSTO]]</f>
        <v>0</v>
      </c>
      <c r="D15" s="43">
        <f>Tabla18[[#Totals],[SEPTIEMBRE]]</f>
        <v>0</v>
      </c>
      <c r="E15" s="43">
        <f>Tabla18[[#Totals],[OCTUBRE]]</f>
        <v>0</v>
      </c>
      <c r="F15" s="43">
        <f>Tabla18[[#Totals],[NOVIEMBRE]]</f>
        <v>0</v>
      </c>
      <c r="G15" s="43">
        <f>Tabla18[[#Totals],[DICIEMBRE]]</f>
        <v>0</v>
      </c>
      <c r="H15" s="43">
        <f>Tabla18[[#Totals],[ENERO]]</f>
        <v>500000</v>
      </c>
      <c r="I15" s="43">
        <f>Tabla18[[#Totals],[FEBRERO]]</f>
        <v>0</v>
      </c>
      <c r="J15" s="43">
        <f>Tabla18[[#Totals],[MARZO]]</f>
        <v>0</v>
      </c>
      <c r="K15" s="43">
        <f>Tabla18[[#Totals],[ABRIL]]</f>
        <v>0</v>
      </c>
      <c r="L15" s="43">
        <f>Tabla18[[#Totals],[MAYO]]</f>
        <v>0</v>
      </c>
      <c r="M15" s="44">
        <f>Tabla18[[#Totals],[JUNIO]]</f>
        <v>0</v>
      </c>
    </row>
    <row r="16" spans="1:13">
      <c r="A16" s="42" t="s">
        <v>16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4"/>
    </row>
    <row r="17" spans="1:13">
      <c r="A17" s="42" t="s">
        <v>12</v>
      </c>
      <c r="B17" s="43">
        <f t="shared" ref="B17:M17" si="0">SumarColor($A$39,B2:B10)</f>
        <v>0</v>
      </c>
      <c r="C17" s="43">
        <f t="shared" si="0"/>
        <v>0</v>
      </c>
      <c r="D17" s="43">
        <f t="shared" si="0"/>
        <v>0</v>
      </c>
      <c r="E17" s="43">
        <f t="shared" si="0"/>
        <v>0</v>
      </c>
      <c r="F17" s="43">
        <f t="shared" si="0"/>
        <v>0</v>
      </c>
      <c r="G17" s="43">
        <f t="shared" si="0"/>
        <v>0</v>
      </c>
      <c r="H17" s="43">
        <f t="shared" si="0"/>
        <v>0</v>
      </c>
      <c r="I17" s="43">
        <f t="shared" si="0"/>
        <v>0</v>
      </c>
      <c r="J17" s="43">
        <f t="shared" si="0"/>
        <v>0</v>
      </c>
      <c r="K17" s="43">
        <f t="shared" si="0"/>
        <v>0</v>
      </c>
      <c r="L17" s="43">
        <f t="shared" si="0"/>
        <v>0</v>
      </c>
      <c r="M17" s="44">
        <f t="shared" si="0"/>
        <v>0</v>
      </c>
    </row>
    <row r="18" spans="1:13">
      <c r="A18" s="42" t="s">
        <v>17</v>
      </c>
      <c r="B18" s="43">
        <f>GRAL[[#Totals],[JULIO]]-B17</f>
        <v>2192485.2300000004</v>
      </c>
      <c r="C18" s="43">
        <f>GRAL[[#Totals],[AGOSTO]]-C17</f>
        <v>2088026.3000000003</v>
      </c>
      <c r="D18" s="43">
        <f>GRAL[[#Totals],[SEPTIEMBRE]]-D17</f>
        <v>2088026.3000000003</v>
      </c>
      <c r="E18" s="43">
        <f>GRAL[[#Totals],[OCTUBRE]]-E17</f>
        <v>1938026.3000000003</v>
      </c>
      <c r="F18" s="43">
        <f>GRAL[[#Totals],[NOVIEMBRE]]-F17</f>
        <v>1988026.3000000003</v>
      </c>
      <c r="G18" s="43">
        <f>GRAL[[#Totals],[DICIEMBRE]]-G17</f>
        <v>2165127.7000000002</v>
      </c>
      <c r="H18" s="43">
        <f>GRAL[[#Totals],[ENERO]]-H17</f>
        <v>1828026.3000000003</v>
      </c>
      <c r="I18" s="43">
        <f>GRAL[[#Totals],[FEBRERO]]-I17</f>
        <v>1828026.3000000003</v>
      </c>
      <c r="J18" s="43">
        <f>GRAL[[#Totals],[MARZO]]-J17</f>
        <v>1828026.3000000003</v>
      </c>
      <c r="K18" s="43">
        <f>GRAL[[#Totals],[ABRIL]]-K17</f>
        <v>1828026.3000000003</v>
      </c>
      <c r="L18" s="43">
        <f>GRAL[[#Totals],[MAYO]]-L17</f>
        <v>1528026.3000000003</v>
      </c>
      <c r="M18" s="44">
        <f>GRAL[[#Totals],[JUNIO]]-M17</f>
        <v>1550769.3900000004</v>
      </c>
    </row>
    <row r="19" spans="1:13">
      <c r="A19" s="83" t="s">
        <v>74</v>
      </c>
      <c r="B19" s="43">
        <f>SUM(B3,B4,B5,B6)</f>
        <v>1553127.7000000002</v>
      </c>
      <c r="C19" s="43">
        <f>SUM(C4,C5,C6,C7)</f>
        <v>1664026.3000000003</v>
      </c>
      <c r="D19" s="43">
        <f t="shared" ref="D19:M19" si="1">SUM(D3,D4,D5,D6)</f>
        <v>1553127.7000000002</v>
      </c>
      <c r="E19" s="43">
        <f t="shared" si="1"/>
        <v>1553127.7000000002</v>
      </c>
      <c r="F19" s="43">
        <f t="shared" si="1"/>
        <v>1553127.7000000002</v>
      </c>
      <c r="G19" s="43">
        <f t="shared" si="1"/>
        <v>1553127.7000000002</v>
      </c>
      <c r="H19" s="43">
        <f t="shared" si="1"/>
        <v>1553127.7000000002</v>
      </c>
      <c r="I19" s="43">
        <f t="shared" si="1"/>
        <v>1553127.7000000002</v>
      </c>
      <c r="J19" s="43">
        <f t="shared" si="1"/>
        <v>1553127.7000000002</v>
      </c>
      <c r="K19" s="43">
        <f t="shared" si="1"/>
        <v>1553127.7000000002</v>
      </c>
      <c r="L19" s="43">
        <f t="shared" si="1"/>
        <v>1253127.7000000002</v>
      </c>
      <c r="M19" s="43">
        <f t="shared" si="1"/>
        <v>1253127.7000000002</v>
      </c>
    </row>
    <row r="20" spans="1:13">
      <c r="A20" s="83" t="s">
        <v>38</v>
      </c>
      <c r="B20" s="43">
        <f>(B14+B15)-(GRAL[[#Totals],[JULIO]]+B16)</f>
        <v>318994.83999999985</v>
      </c>
      <c r="C20" s="43">
        <f>(C14+C15)-(GRAL[[#Totals],[AGOSTO]]+C16)</f>
        <v>-76546.230000000214</v>
      </c>
      <c r="D20" s="43">
        <f>(D14+D15)-(GRAL[[#Totals],[SEPTIEMBRE]]+D16)</f>
        <v>-76546.230000000214</v>
      </c>
      <c r="E20" s="43">
        <f>(E14+E15)-(GRAL[[#Totals],[OCTUBRE]]+E16)</f>
        <v>73453.769999999786</v>
      </c>
      <c r="F20" s="43">
        <f>(F14+F15)-(GRAL[[#Totals],[NOVIEMBRE]]+F16)</f>
        <v>23453.769999999786</v>
      </c>
      <c r="G20" s="43">
        <f>(G14+G15)-(GRAL[[#Totals],[DICIEMBRE]]+G16)</f>
        <v>-153647.63000000012</v>
      </c>
      <c r="H20" s="43">
        <f>(H14+H15)-(GRAL[[#Totals],[ENERO]]+H16)</f>
        <v>683453.77</v>
      </c>
      <c r="I20" s="43">
        <f>(I14+I15)-(GRAL[[#Totals],[FEBRERO]]+I16)</f>
        <v>183453.76999999979</v>
      </c>
      <c r="J20" s="43">
        <f>(J14+J15)-(GRAL[[#Totals],[MARZO]]+J16)</f>
        <v>183453.76999999979</v>
      </c>
      <c r="K20" s="43">
        <f>(K14+K15)-(GRAL[[#Totals],[ABRIL]]+K16)</f>
        <v>183453.76999999979</v>
      </c>
      <c r="L20" s="43">
        <f>(L14+L15)-(GRAL[[#Totals],[MAYO]]+L16)</f>
        <v>483453.76999999979</v>
      </c>
      <c r="M20" s="43">
        <f>(M14+M15)-(GRAL[[#Totals],[JUNIO]]+M16)</f>
        <v>460710.6799999997</v>
      </c>
    </row>
    <row r="21" spans="1:13">
      <c r="A21" s="45" t="s">
        <v>15</v>
      </c>
      <c r="B21" s="46">
        <f>B14-GRAL[[#Totals],[JULIO]]</f>
        <v>-181005.16000000038</v>
      </c>
      <c r="C21" s="46">
        <f>C14-GRAL[[#Totals],[AGOSTO]]</f>
        <v>-76546.230000000214</v>
      </c>
      <c r="D21" s="46">
        <f>D14-GRAL[[#Totals],[SEPTIEMBRE]]</f>
        <v>-76546.230000000214</v>
      </c>
      <c r="E21" s="46">
        <f>E14-GRAL[[#Totals],[OCTUBRE]]</f>
        <v>73453.769999999786</v>
      </c>
      <c r="F21" s="46">
        <f>F14-GRAL[[#Totals],[NOVIEMBRE]]</f>
        <v>23453.769999999786</v>
      </c>
      <c r="G21" s="46">
        <f>G14-GRAL[[#Totals],[DICIEMBRE]]</f>
        <v>-153647.63000000012</v>
      </c>
      <c r="H21" s="46">
        <f>H14-GRAL[[#Totals],[ENERO]]</f>
        <v>183453.76999999979</v>
      </c>
      <c r="I21" s="46">
        <f>I14-GRAL[[#Totals],[FEBRERO]]</f>
        <v>183453.76999999979</v>
      </c>
      <c r="J21" s="46">
        <f>J14-GRAL[[#Totals],[MARZO]]</f>
        <v>183453.76999999979</v>
      </c>
      <c r="K21" s="46">
        <f>K14-GRAL[[#Totals],[ABRIL]]</f>
        <v>183453.76999999979</v>
      </c>
      <c r="L21" s="46">
        <f>L14-GRAL[[#Totals],[MAYO]]</f>
        <v>483453.76999999979</v>
      </c>
      <c r="M21" s="47">
        <f>M14-GRAL[[#Totals],[MARZO]]</f>
        <v>183453.76999999979</v>
      </c>
    </row>
    <row r="22" spans="1:1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>
      <c r="B24" s="5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>
      <c r="B25" s="5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9" spans="1:1">
      <c r="A39" s="2"/>
    </row>
  </sheetData>
  <conditionalFormatting sqref="F20">
    <cfRule type="cellIs" dxfId="66" priority="3" operator="lessThan">
      <formula>0</formula>
    </cfRule>
  </conditionalFormatting>
  <conditionalFormatting sqref="B20:M20">
    <cfRule type="cellIs" dxfId="65" priority="2" operator="lessThan">
      <formula>0</formula>
    </cfRule>
  </conditionalFormatting>
  <conditionalFormatting sqref="B21:M21">
    <cfRule type="cellIs" dxfId="64" priority="1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E2:J15"/>
  <sheetViews>
    <sheetView workbookViewId="0">
      <selection activeCell="D30" sqref="D30"/>
    </sheetView>
  </sheetViews>
  <sheetFormatPr baseColWidth="10" defaultRowHeight="14.4"/>
  <cols>
    <col min="5" max="5" width="21" bestFit="1" customWidth="1"/>
    <col min="6" max="6" width="21.6640625" customWidth="1"/>
    <col min="7" max="7" width="5.6640625" customWidth="1"/>
    <col min="8" max="8" width="7.6640625" customWidth="1"/>
    <col min="9" max="9" width="5.6640625" customWidth="1"/>
    <col min="10" max="10" width="25.6640625" customWidth="1"/>
    <col min="11" max="11" width="5.6640625" customWidth="1"/>
    <col min="12" max="12" width="25.6640625" customWidth="1"/>
  </cols>
  <sheetData>
    <row r="2" spans="5:10">
      <c r="E2" s="79" t="s">
        <v>54</v>
      </c>
      <c r="F2" s="80">
        <v>1930185</v>
      </c>
      <c r="J2" s="82" t="s">
        <v>43</v>
      </c>
    </row>
    <row r="3" spans="5:10">
      <c r="J3" s="13" t="s">
        <v>47</v>
      </c>
    </row>
    <row r="4" spans="5:10">
      <c r="E4" s="79" t="s">
        <v>42</v>
      </c>
      <c r="F4" s="81">
        <v>0.5</v>
      </c>
      <c r="J4" s="13" t="s">
        <v>48</v>
      </c>
    </row>
    <row r="5" spans="5:10">
      <c r="E5" s="79" t="s">
        <v>43</v>
      </c>
      <c r="F5" s="81">
        <v>0.35</v>
      </c>
      <c r="J5" s="13" t="s">
        <v>49</v>
      </c>
    </row>
    <row r="6" spans="5:10">
      <c r="E6" s="79" t="s">
        <v>73</v>
      </c>
      <c r="F6" s="81">
        <v>0.15</v>
      </c>
      <c r="J6" s="13" t="s">
        <v>50</v>
      </c>
    </row>
    <row r="8" spans="5:10">
      <c r="J8" s="82" t="s">
        <v>44</v>
      </c>
    </row>
    <row r="9" spans="5:10">
      <c r="E9" s="79" t="s">
        <v>42</v>
      </c>
      <c r="F9" s="80">
        <f>F2*F4</f>
        <v>965092.5</v>
      </c>
      <c r="H9" s="81">
        <v>1</v>
      </c>
      <c r="J9" s="13" t="s">
        <v>52</v>
      </c>
    </row>
    <row r="10" spans="5:10">
      <c r="E10" s="13" t="s">
        <v>45</v>
      </c>
      <c r="F10" s="80">
        <v>544400</v>
      </c>
      <c r="H10" s="81">
        <f>(F10*H9)/F9</f>
        <v>0.56409100682058977</v>
      </c>
      <c r="J10" s="13" t="s">
        <v>53</v>
      </c>
    </row>
    <row r="11" spans="5:10">
      <c r="E11" s="13" t="s">
        <v>46</v>
      </c>
      <c r="F11" s="80">
        <f>F9-F10</f>
        <v>420692.5</v>
      </c>
      <c r="H11" s="81">
        <f>(F11*H9)/F9</f>
        <v>0.43590899317941029</v>
      </c>
      <c r="J11" s="13" t="s">
        <v>51</v>
      </c>
    </row>
    <row r="13" spans="5:10">
      <c r="E13" s="79" t="s">
        <v>43</v>
      </c>
      <c r="F13" s="80">
        <f>F5*F2</f>
        <v>675564.75</v>
      </c>
    </row>
    <row r="15" spans="5:10">
      <c r="E15" s="79" t="s">
        <v>73</v>
      </c>
      <c r="F15" s="80">
        <f>F2*F6</f>
        <v>289527.75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PRESTADO</vt:lpstr>
      <vt:lpstr>NATIVA</vt:lpstr>
      <vt:lpstr>PRESTAMOS</vt:lpstr>
      <vt:lpstr>NARANJA</vt:lpstr>
      <vt:lpstr>GENERAL 25-26</vt:lpstr>
      <vt:lpstr>NOTAS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FreakZone</dc:creator>
  <cp:lastModifiedBy>Christian Alejandro Jaque</cp:lastModifiedBy>
  <dcterms:created xsi:type="dcterms:W3CDTF">2016-08-01T20:34:57Z</dcterms:created>
  <dcterms:modified xsi:type="dcterms:W3CDTF">2026-07-31T06:42:54Z</dcterms:modified>
</cp:coreProperties>
</file>